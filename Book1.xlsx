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" sheetId="1" r:id="rId4"/>
  </sheets>
  <definedNames/>
  <calcPr/>
</workbook>
</file>

<file path=xl/sharedStrings.xml><?xml version="1.0" encoding="utf-8"?>
<sst xmlns="http://schemas.openxmlformats.org/spreadsheetml/2006/main" count="3165" uniqueCount="703">
  <si>
    <t>ID</t>
  </si>
  <si>
    <t>Título</t>
  </si>
  <si>
    <t>Gênero</t>
  </si>
  <si>
    <t>Ficção</t>
  </si>
  <si>
    <t>País</t>
  </si>
  <si>
    <t>Região</t>
  </si>
  <si>
    <t>Autor</t>
  </si>
  <si>
    <t>Ano de Publicação</t>
  </si>
  <si>
    <t>Séc</t>
  </si>
  <si>
    <t>Editora</t>
  </si>
  <si>
    <t>Sexo Autor</t>
  </si>
  <si>
    <t>Etnia</t>
  </si>
  <si>
    <t>Autor/Temática LGBTQIA+?</t>
  </si>
  <si>
    <t>Páginas</t>
  </si>
  <si>
    <t>Conclusão</t>
  </si>
  <si>
    <t>Nota</t>
  </si>
  <si>
    <t>A Droga da Obediência</t>
  </si>
  <si>
    <t>Infanto-Juvenil</t>
  </si>
  <si>
    <t>Sim</t>
  </si>
  <si>
    <t>Brasil</t>
  </si>
  <si>
    <t>América Latina</t>
  </si>
  <si>
    <t>Pedro Bandeira</t>
  </si>
  <si>
    <t>Moderna</t>
  </si>
  <si>
    <t>M</t>
  </si>
  <si>
    <t>Branca</t>
  </si>
  <si>
    <t>A Droga do Amor</t>
  </si>
  <si>
    <t>A Marca de uma Lágrima</t>
  </si>
  <si>
    <t>As Alegrias da Maternidade</t>
  </si>
  <si>
    <t>Romance</t>
  </si>
  <si>
    <t>Nigéria</t>
  </si>
  <si>
    <t>África</t>
  </si>
  <si>
    <t>Buchi Emecheta</t>
  </si>
  <si>
    <t>TAG</t>
  </si>
  <si>
    <t>F</t>
  </si>
  <si>
    <t>Negra</t>
  </si>
  <si>
    <t>A Origem</t>
  </si>
  <si>
    <t>Estados Unidos</t>
  </si>
  <si>
    <t>América do Norte</t>
  </si>
  <si>
    <t>Dan Brown</t>
  </si>
  <si>
    <t>Sextante</t>
  </si>
  <si>
    <t>A Vida, o Universo e Tudo Mais</t>
  </si>
  <si>
    <t>Reino Unido</t>
  </si>
  <si>
    <t>Europa</t>
  </si>
  <si>
    <t>Douglas Adams</t>
  </si>
  <si>
    <t>Arqueiro</t>
  </si>
  <si>
    <t>Fortaleza Digital</t>
  </si>
  <si>
    <t>A Volta ao Mundo em 80 dias</t>
  </si>
  <si>
    <t>França</t>
  </si>
  <si>
    <t>Julio Verne</t>
  </si>
  <si>
    <t>Zahar</t>
  </si>
  <si>
    <t>O Código Da Vinci</t>
  </si>
  <si>
    <t>O Símbolo Perdido</t>
  </si>
  <si>
    <t>Ponto de Impacto</t>
  </si>
  <si>
    <t>Inferno</t>
  </si>
  <si>
    <t>Poesia Épica</t>
  </si>
  <si>
    <t>Itália</t>
  </si>
  <si>
    <t>Dante Alighieri</t>
  </si>
  <si>
    <t>Nova Fronteira</t>
  </si>
  <si>
    <t>Os homens que Salvavam Livros</t>
  </si>
  <si>
    <t>História</t>
  </si>
  <si>
    <t>Não</t>
  </si>
  <si>
    <t>Lituânia</t>
  </si>
  <si>
    <t>David E. Fishman</t>
  </si>
  <si>
    <t>Vestígio</t>
  </si>
  <si>
    <t>Agência de Investigações Holísticas Dirk Gently</t>
  </si>
  <si>
    <t>Albert Einstein e Seu Universo Inflável</t>
  </si>
  <si>
    <t>Dr. Mike Goldsmith</t>
  </si>
  <si>
    <t>Companhia das Letras</t>
  </si>
  <si>
    <t>Anjo da Morte</t>
  </si>
  <si>
    <t>Anjos e Demônios</t>
  </si>
  <si>
    <t>Armário 13</t>
  </si>
  <si>
    <t>R.L. Stine</t>
  </si>
  <si>
    <t>Rocco</t>
  </si>
  <si>
    <t>As Crônicas de Nárnia</t>
  </si>
  <si>
    <t>Irlanda</t>
  </si>
  <si>
    <t>C.S. Lewis</t>
  </si>
  <si>
    <t>Martins Fontes</t>
  </si>
  <si>
    <t>O Velho e o Mar</t>
  </si>
  <si>
    <t>Ernest Hemingway</t>
  </si>
  <si>
    <t>-</t>
  </si>
  <si>
    <t>O Grande Gatsby</t>
  </si>
  <si>
    <t>F. Scott Fitzgerald</t>
  </si>
  <si>
    <t>Duna</t>
  </si>
  <si>
    <t>Frank Herbert</t>
  </si>
  <si>
    <t>Aleph</t>
  </si>
  <si>
    <t>A Promessa e A Pane</t>
  </si>
  <si>
    <t>Suíça</t>
  </si>
  <si>
    <t>Friedrich Durrenmatt</t>
  </si>
  <si>
    <t>Assim Falava Zaratustra</t>
  </si>
  <si>
    <t>Filosofia</t>
  </si>
  <si>
    <t>Alemanha</t>
  </si>
  <si>
    <t>Friedrich Nietzsche</t>
  </si>
  <si>
    <t>Ecce Homo</t>
  </si>
  <si>
    <t>Autobiografia</t>
  </si>
  <si>
    <t>As Últimas Testemunhas</t>
  </si>
  <si>
    <t>Relato</t>
  </si>
  <si>
    <t>Ucrânia</t>
  </si>
  <si>
    <t>Svetlana Alexiévitch</t>
  </si>
  <si>
    <t>A Dança dos Dragões</t>
  </si>
  <si>
    <t>George R. R. Martin</t>
  </si>
  <si>
    <t>Leya</t>
  </si>
  <si>
    <t>Os Dentes do Diabo</t>
  </si>
  <si>
    <t>Jornalístico</t>
  </si>
  <si>
    <t>Susan Casey</t>
  </si>
  <si>
    <t>A Fúria dos Reis</t>
  </si>
  <si>
    <t>A Guerra dos Tronos</t>
  </si>
  <si>
    <t>A Tormenta de Espadas</t>
  </si>
  <si>
    <t>Festim dos Corvos</t>
  </si>
  <si>
    <t>O Cavaleiro dos Sete Reinos</t>
  </si>
  <si>
    <t>O Príncipe de Westeros e Outras Histórias</t>
  </si>
  <si>
    <t>Contos</t>
  </si>
  <si>
    <t>Saída de Emergência Brasil</t>
  </si>
  <si>
    <t>Assombrosos Astecas</t>
  </si>
  <si>
    <t>Terry Deary</t>
  </si>
  <si>
    <t>Melhoramentos</t>
  </si>
  <si>
    <t>Até Mais, e Obrigado Pelos Peixes</t>
  </si>
  <si>
    <t>O Sol é Para Todos</t>
  </si>
  <si>
    <t>Harper Lee</t>
  </si>
  <si>
    <t>José Olympio</t>
  </si>
  <si>
    <t>Odisseia</t>
  </si>
  <si>
    <t>Grécia</t>
  </si>
  <si>
    <t>Homero</t>
  </si>
  <si>
    <t>Cama de Gato</t>
  </si>
  <si>
    <t>Kurt Vonnegut</t>
  </si>
  <si>
    <t>Triologia da Fundação</t>
  </si>
  <si>
    <t>Isaac Asimov</t>
  </si>
  <si>
    <t>Harry Potter e a Câmara Secreta</t>
  </si>
  <si>
    <t>J. K. Rolling</t>
  </si>
  <si>
    <t>Harry Potter e a Ordem da Fênix</t>
  </si>
  <si>
    <t>Harry Potter e a Pedra Filosofal</t>
  </si>
  <si>
    <t>Harry Potter e As Relíquias da Morte</t>
  </si>
  <si>
    <t>Harry Potter e o Cálice de Fogo</t>
  </si>
  <si>
    <t>Harry Potter e o Enigma do Príncipe</t>
  </si>
  <si>
    <t>Harry Potter e O Prisioneiro de Azkaban</t>
  </si>
  <si>
    <t>A Náusea</t>
  </si>
  <si>
    <t>Jean-Paul Sartre</t>
  </si>
  <si>
    <t>O Aleph e Outras Histórias</t>
  </si>
  <si>
    <t>Argentina</t>
  </si>
  <si>
    <t>Jorge Luis Borges</t>
  </si>
  <si>
    <t>O Evangelho Segundo Jesus Cristo</t>
  </si>
  <si>
    <t>Portugal</t>
  </si>
  <si>
    <t>José Saramago</t>
  </si>
  <si>
    <t>Em Chamas</t>
  </si>
  <si>
    <t>Suzanne Collins</t>
  </si>
  <si>
    <t>Ensaio Sobre a Cegueira</t>
  </si>
  <si>
    <t>A Metamorfose</t>
  </si>
  <si>
    <t>Chéquia</t>
  </si>
  <si>
    <t>Kafka</t>
  </si>
  <si>
    <t>Novo Século</t>
  </si>
  <si>
    <t>O Processo</t>
  </si>
  <si>
    <t>Espantosos Egípcios</t>
  </si>
  <si>
    <t>Esperança</t>
  </si>
  <si>
    <t>Grandes Gregos</t>
  </si>
  <si>
    <t>Ilíada</t>
  </si>
  <si>
    <t>Incríveis Incas</t>
  </si>
  <si>
    <t>Arthur e a Cidade Proibida</t>
  </si>
  <si>
    <t>Luc Besson</t>
  </si>
  <si>
    <t>Arthur e a Guerra dos Dois Mundos</t>
  </si>
  <si>
    <t>Arthur e a Vingança de Maltazard</t>
  </si>
  <si>
    <t>Arthur e os Minimoys</t>
  </si>
  <si>
    <t>Isaac Newton e Sua Maçã</t>
  </si>
  <si>
    <t>Kjartan Poskitt</t>
  </si>
  <si>
    <t>Jogos Vorazes</t>
  </si>
  <si>
    <t>O Alienista</t>
  </si>
  <si>
    <t>Machado de Assis</t>
  </si>
  <si>
    <t>Antofágica</t>
  </si>
  <si>
    <t>Leonardo Da Vinci e Seu Super Cérebro</t>
  </si>
  <si>
    <t>Michael Cox</t>
  </si>
  <si>
    <t>O Contos da Aia</t>
  </si>
  <si>
    <t>Canadá</t>
  </si>
  <si>
    <t>Margaret Atwood</t>
  </si>
  <si>
    <t>Medo Clássico - H. P. Lovecraft</t>
  </si>
  <si>
    <t>H.P. Lovecraft</t>
  </si>
  <si>
    <t>Darkside</t>
  </si>
  <si>
    <t>Não Se Esqueça de Mim</t>
  </si>
  <si>
    <t>Nós</t>
  </si>
  <si>
    <t>Rússia</t>
  </si>
  <si>
    <t>Ásia</t>
  </si>
  <si>
    <t>Ievguêni Zamiátin</t>
  </si>
  <si>
    <t>As Aventuras de Tom Sawyer</t>
  </si>
  <si>
    <t>Mark Twain</t>
  </si>
  <si>
    <t>Breve História de Sete Assassinatos</t>
  </si>
  <si>
    <t>Jamaica</t>
  </si>
  <si>
    <t>Marlon James</t>
  </si>
  <si>
    <t>Intrínseca</t>
  </si>
  <si>
    <t>O Alquimista</t>
  </si>
  <si>
    <t>Paulo Coelho</t>
  </si>
  <si>
    <t>O Guia do Mochileiro das Galáxias</t>
  </si>
  <si>
    <t>O Restaurante no Fim do Universo</t>
  </si>
  <si>
    <t>Percy Jackson: A Batalha do Labirinto</t>
  </si>
  <si>
    <t>Rick Riordan</t>
  </si>
  <si>
    <t>Percy Jackson: A Maldição do Titã</t>
  </si>
  <si>
    <t>Percy Jackson: Mar de Monstros</t>
  </si>
  <si>
    <t>Percy Jackson: O Ladrão de Raios</t>
  </si>
  <si>
    <t>Percy Jackson: O Último Olimpiano</t>
  </si>
  <si>
    <t>Grandes Obras de Shakespeare - Tragédias</t>
  </si>
  <si>
    <t>Teatro</t>
  </si>
  <si>
    <t>Shakespeare</t>
  </si>
  <si>
    <t>Os Lusíadas</t>
  </si>
  <si>
    <t>Luís de Camões</t>
  </si>
  <si>
    <t>Pântano de Sangue</t>
  </si>
  <si>
    <t>Praticamente Inofensiva</t>
  </si>
  <si>
    <t>Put Some Farofa</t>
  </si>
  <si>
    <t>Crônica</t>
  </si>
  <si>
    <t>Gregório Duvivier</t>
  </si>
  <si>
    <t>A Máquina de Fazer Espanhóis</t>
  </si>
  <si>
    <t>Valter Hugo Mãe</t>
  </si>
  <si>
    <t>Biblioteca Azul</t>
  </si>
  <si>
    <t>O Apocalipse dos Trabalhadores</t>
  </si>
  <si>
    <t>O Filho de Mil Homens</t>
  </si>
  <si>
    <t>O Remorso de Baltazar Serapião</t>
  </si>
  <si>
    <t>Os Miseráveis</t>
  </si>
  <si>
    <t>Victor Hugo</t>
  </si>
  <si>
    <t>Martin Claret</t>
  </si>
  <si>
    <t>A Bolsa Amarela</t>
  </si>
  <si>
    <t>Lygia Bojunga</t>
  </si>
  <si>
    <t>Casa Lygia Bojunga</t>
  </si>
  <si>
    <t>A Volta de Sherlock Holmes</t>
  </si>
  <si>
    <t>Arthur Connan Doyle</t>
  </si>
  <si>
    <t>As Aventuras de Sherlock Holmes</t>
  </si>
  <si>
    <t>As Memórias de Sherlock Holmes</t>
  </si>
  <si>
    <t>Histórias de Sherlock Holmes</t>
  </si>
  <si>
    <t>O Cão dos Baskerville</t>
  </si>
  <si>
    <t>O Signo dos Quatro</t>
  </si>
  <si>
    <t>O Último Adeus de Sherlock Holmes</t>
  </si>
  <si>
    <t>O Vale do Medo</t>
  </si>
  <si>
    <t>Um Estudo em Vermelho</t>
  </si>
  <si>
    <t>A Onda</t>
  </si>
  <si>
    <t>Cidade das Almas Perdidas</t>
  </si>
  <si>
    <t>Cassandra Clare</t>
  </si>
  <si>
    <t>Record</t>
  </si>
  <si>
    <t>Cidade das Cinzas</t>
  </si>
  <si>
    <t>Cidade de Vidro</t>
  </si>
  <si>
    <t>Cidade dos Anjos Caídos</t>
  </si>
  <si>
    <t>A Praça do Diamante</t>
  </si>
  <si>
    <t>Espanha</t>
  </si>
  <si>
    <t>Mercè Rodoreda</t>
  </si>
  <si>
    <t>Brisingr</t>
  </si>
  <si>
    <t>Cristopher Paolini</t>
  </si>
  <si>
    <t>Eldest</t>
  </si>
  <si>
    <t>Eragon</t>
  </si>
  <si>
    <t>Herança</t>
  </si>
  <si>
    <t>A Revolução dos Bichos</t>
  </si>
  <si>
    <t>George Orwell</t>
  </si>
  <si>
    <t>As Aventuras do Capitão Cueca</t>
  </si>
  <si>
    <t>Dav Pilkey</t>
  </si>
  <si>
    <t>Cosac Naify</t>
  </si>
  <si>
    <t>As Aventuras do Capitão Cueca 2</t>
  </si>
  <si>
    <t>As Aventuras do Capitão Cueca 3</t>
  </si>
  <si>
    <t>As Aventuras do Capitão Cueca 4</t>
  </si>
  <si>
    <t>As Aventuras do Capitão Cueca 5</t>
  </si>
  <si>
    <t>As Aventuras do Capitão Cueca 6</t>
  </si>
  <si>
    <t>As Aventuras do Capitão Cueca 7</t>
  </si>
  <si>
    <t>Admirável Mundo Novo</t>
  </si>
  <si>
    <t>Aldous Huxley</t>
  </si>
  <si>
    <t>As Guerras do Mundo Emerso: A Seita dos Assassinos</t>
  </si>
  <si>
    <t>Licia Troisi</t>
  </si>
  <si>
    <t>A Caverna do Medo</t>
  </si>
  <si>
    <t>Austrália</t>
  </si>
  <si>
    <t>Oceania</t>
  </si>
  <si>
    <t>Emily Rodda</t>
  </si>
  <si>
    <t>Fundamento</t>
  </si>
  <si>
    <t>A Cidade dos Ratos</t>
  </si>
  <si>
    <t>A Ilha da Ilusão</t>
  </si>
  <si>
    <t>A Ilha dos Mortos</t>
  </si>
  <si>
    <t>A Irmã do Sul</t>
  </si>
  <si>
    <t>A Montanha do Medo</t>
  </si>
  <si>
    <t>A Terra das Sombras</t>
  </si>
  <si>
    <t>As Dunas</t>
  </si>
  <si>
    <t>As Florestas do Silêncio</t>
  </si>
  <si>
    <t>O Labirinto da Besta</t>
  </si>
  <si>
    <t>O Lago das Lágrimas</t>
  </si>
  <si>
    <t>O Ninho do Dragão</t>
  </si>
  <si>
    <t>O Portal das Sombras</t>
  </si>
  <si>
    <t>O Retorno a Del</t>
  </si>
  <si>
    <t>O Vale dos Perdidos</t>
  </si>
  <si>
    <t>As Guerras do Mundo Emerso: As Duas Guerreiras</t>
  </si>
  <si>
    <t>As Mentiras que os Homens Contam</t>
  </si>
  <si>
    <t>Luis Fernando Veríssimo</t>
  </si>
  <si>
    <t>Objetiva</t>
  </si>
  <si>
    <t>As Três Marias</t>
  </si>
  <si>
    <t>Racuel de Queiroz</t>
  </si>
  <si>
    <t>Cem Anos de Solidão</t>
  </si>
  <si>
    <t>Colômbia</t>
  </si>
  <si>
    <t>Gabriel García Márquez</t>
  </si>
  <si>
    <t>Cidade dos Ossos</t>
  </si>
  <si>
    <t>Comédias para se Ler na Escola</t>
  </si>
  <si>
    <t>Crônicas do Mundo Emerso: A Garota da Terra do Vento</t>
  </si>
  <si>
    <t>Crônicas do Mundo Emerso: A Missão de Senar</t>
  </si>
  <si>
    <t>Crônicas do Mundo Emerso: O Talismã do Poder</t>
  </si>
  <si>
    <t>Deuses Americanos</t>
  </si>
  <si>
    <t>Neil Gaiman</t>
  </si>
  <si>
    <t>Emperor of Thorns</t>
  </si>
  <si>
    <t>Mark Lawrence</t>
  </si>
  <si>
    <t>Excalibur</t>
  </si>
  <si>
    <t>Bernard Cornwell</t>
  </si>
  <si>
    <t>Inimigo de Deus</t>
  </si>
  <si>
    <t>King of Thorns</t>
  </si>
  <si>
    <t>Laranja Mecânica</t>
  </si>
  <si>
    <t>Anthony Burgess</t>
  </si>
  <si>
    <t>Mais Comédias para se Ler na Escola</t>
  </si>
  <si>
    <t>O Cortiço</t>
  </si>
  <si>
    <t>Aluísio de Azevedo</t>
  </si>
  <si>
    <t>Rideel</t>
  </si>
  <si>
    <t>A Música do Silêncio</t>
  </si>
  <si>
    <t>SIm</t>
  </si>
  <si>
    <t>Patrick Rothfuss</t>
  </si>
  <si>
    <t>O Nome do Vento</t>
  </si>
  <si>
    <t>O Temor do Sábio</t>
  </si>
  <si>
    <t>O Mundo de Sofia</t>
  </si>
  <si>
    <t>Noruega</t>
  </si>
  <si>
    <t>Jostein Gaarder</t>
  </si>
  <si>
    <t>O Poderoso Chefão</t>
  </si>
  <si>
    <t>Mario Puzzo</t>
  </si>
  <si>
    <t>O Rei do Inverno</t>
  </si>
  <si>
    <t>O Universo numa Casca de Noz</t>
  </si>
  <si>
    <t>Ciências</t>
  </si>
  <si>
    <t>Stephen Hawking</t>
  </si>
  <si>
    <t>ARX</t>
  </si>
  <si>
    <t>Origens: 14 Bilhões de Anos de Evolução Cósmica</t>
  </si>
  <si>
    <t>Neil deGrasse Tyson</t>
  </si>
  <si>
    <t>Planeta</t>
  </si>
  <si>
    <t>A Casa de Hades</t>
  </si>
  <si>
    <t>A Marca de Atena</t>
  </si>
  <si>
    <t>A Pirâmide Vermelha</t>
  </si>
  <si>
    <t>A Sombra da Serpente</t>
  </si>
  <si>
    <t>O Filho de Netuno</t>
  </si>
  <si>
    <t>O Herói Perdido</t>
  </si>
  <si>
    <t>O Sangue do Olimpo</t>
  </si>
  <si>
    <t>O Trono de Fogo</t>
  </si>
  <si>
    <t>O Aprendiz de Assassino</t>
  </si>
  <si>
    <t>Robin Hobb</t>
  </si>
  <si>
    <t>O Assassino do Rei</t>
  </si>
  <si>
    <t>Os Contoss de Beedle, o Bardo</t>
  </si>
  <si>
    <t>Prince of Thorns</t>
  </si>
  <si>
    <t>Senhor das Moscas</t>
  </si>
  <si>
    <t>William Golding</t>
  </si>
  <si>
    <t>Senhor dos Anéis: A Sociedade do Anel</t>
  </si>
  <si>
    <t>J. R. R. Tolkien</t>
  </si>
  <si>
    <t>Senhor dos Anéis: As Duas Torres</t>
  </si>
  <si>
    <t>Senhor dos Anéis: O Retorno do Rei</t>
  </si>
  <si>
    <t>Uma Breve História do Tempo</t>
  </si>
  <si>
    <t>Vinte Mil Léguas Submarinas</t>
  </si>
  <si>
    <t>FTD</t>
  </si>
  <si>
    <t>As Veias Abertas da América Latina</t>
  </si>
  <si>
    <t>Uruguai</t>
  </si>
  <si>
    <t>Eduardo Galeano</t>
  </si>
  <si>
    <t>L&amp;PM</t>
  </si>
  <si>
    <t>Farenheit 451</t>
  </si>
  <si>
    <t>Ray Bradbury</t>
  </si>
  <si>
    <t>Crime e Castigo</t>
  </si>
  <si>
    <t>Fiódor Dostoiévski</t>
  </si>
  <si>
    <t>Orgulho e Preconceito</t>
  </si>
  <si>
    <t>Jane Austen</t>
  </si>
  <si>
    <t>Senhora</t>
  </si>
  <si>
    <t>José de Alencar</t>
  </si>
  <si>
    <t>Penguin</t>
  </si>
  <si>
    <t>Tristão e Isolda</t>
  </si>
  <si>
    <t>Auto da Barca do Inferno</t>
  </si>
  <si>
    <t>Gil Vicente</t>
  </si>
  <si>
    <t>O Livro Perigoso para Garotos</t>
  </si>
  <si>
    <t>Conn e Hal Iggulden</t>
  </si>
  <si>
    <t>A Árvore que Dava Dinheiro</t>
  </si>
  <si>
    <t>Domingos Pellegrini</t>
  </si>
  <si>
    <t>Ática</t>
  </si>
  <si>
    <t>O Homem que Calculava</t>
  </si>
  <si>
    <t>Malba Tahan</t>
  </si>
  <si>
    <t>Bioshock: Rapture</t>
  </si>
  <si>
    <t>John Shirley</t>
  </si>
  <si>
    <t>Capitães da Areia</t>
  </si>
  <si>
    <t>Jorge Amado</t>
  </si>
  <si>
    <t>Sobre os Ossos dos Mortos</t>
  </si>
  <si>
    <t>Polônia</t>
  </si>
  <si>
    <t>Olga Tokarczuk</t>
  </si>
  <si>
    <t>Todavia</t>
  </si>
  <si>
    <t>Terra Sonâmbula</t>
  </si>
  <si>
    <t>Moçambique</t>
  </si>
  <si>
    <t>Mia Couto</t>
  </si>
  <si>
    <t>A Casa dos Espíritos</t>
  </si>
  <si>
    <t>Chile</t>
  </si>
  <si>
    <t>Isabel Allende</t>
  </si>
  <si>
    <t>Bertrand Brasil</t>
  </si>
  <si>
    <t>Os Vestígios do Dia</t>
  </si>
  <si>
    <t>Japão</t>
  </si>
  <si>
    <t>Kazuo Ishiguro</t>
  </si>
  <si>
    <t>Matadouro 5</t>
  </si>
  <si>
    <t>O Apanhador no Campo de Centeio</t>
  </si>
  <si>
    <t>J.D. Salinger</t>
  </si>
  <si>
    <t>O Amor nos Tempos do Cólera</t>
  </si>
  <si>
    <t>Caçando Carneiros</t>
  </si>
  <si>
    <t>Haruki Murakami</t>
  </si>
  <si>
    <t>Alfaguara</t>
  </si>
  <si>
    <t>As Intermitências da Morte</t>
  </si>
  <si>
    <t>David Coperfield, Vol I</t>
  </si>
  <si>
    <t>Charles Dickens</t>
  </si>
  <si>
    <t>Grande Sertão, Veredas</t>
  </si>
  <si>
    <t>Guimarães Rosa</t>
  </si>
  <si>
    <t>A Revolta de Atlas, Vol I</t>
  </si>
  <si>
    <t>Ayn Rand</t>
  </si>
  <si>
    <t>A Revolta de Atlas, Vol II</t>
  </si>
  <si>
    <t>A Revolta de Atlas, Vol III</t>
  </si>
  <si>
    <t>A Morte de Ivan Ilitch</t>
  </si>
  <si>
    <t>Tolstoi</t>
  </si>
  <si>
    <t>Outros Jeitos de Usar a Boca</t>
  </si>
  <si>
    <t>Poesia</t>
  </si>
  <si>
    <t>Índia</t>
  </si>
  <si>
    <t>Rupi Kaur</t>
  </si>
  <si>
    <t>Planeta Brasil</t>
  </si>
  <si>
    <t>Mrs. Dalloway</t>
  </si>
  <si>
    <t>Virginia Woolf</t>
  </si>
  <si>
    <t>O Nosso Reino</t>
  </si>
  <si>
    <t>David Coperfield, Vol II</t>
  </si>
  <si>
    <t>Memórias Póstumas de Brás Cubas</t>
  </si>
  <si>
    <t>Dom Casmurro</t>
  </si>
  <si>
    <t>A Mulher na Janela</t>
  </si>
  <si>
    <t>A.J. Finn</t>
  </si>
  <si>
    <t>O Vermelho e o Negro</t>
  </si>
  <si>
    <t>Stendhal</t>
  </si>
  <si>
    <t>Os Sofrimentos do Jovem Werther</t>
  </si>
  <si>
    <t>Goethe</t>
  </si>
  <si>
    <t>Fausto, Vol I</t>
  </si>
  <si>
    <t>Editora 34</t>
  </si>
  <si>
    <t>Fausto, Vol II</t>
  </si>
  <si>
    <t>Story</t>
  </si>
  <si>
    <t>Artes</t>
  </si>
  <si>
    <t>Robert Mckee</t>
  </si>
  <si>
    <t>Arte e Letra</t>
  </si>
  <si>
    <t>Torto Arado</t>
  </si>
  <si>
    <t>Itamar Vieira Júnior</t>
  </si>
  <si>
    <t>Os Irmãos Karamázov</t>
  </si>
  <si>
    <t>Lolita</t>
  </si>
  <si>
    <t>Vladimir Nabokov</t>
  </si>
  <si>
    <t>País sem Chapéu</t>
  </si>
  <si>
    <t>Haiti</t>
  </si>
  <si>
    <t>Dany Laferrière</t>
  </si>
  <si>
    <t>O Conde de Monte Cristo</t>
  </si>
  <si>
    <t>Alexandre Dumas</t>
  </si>
  <si>
    <t>Pedro Páramo</t>
  </si>
  <si>
    <t>México</t>
  </si>
  <si>
    <t>Juan Rulfo</t>
  </si>
  <si>
    <t>Norwegian Wood</t>
  </si>
  <si>
    <t>O Engenhoso Fidalgo D. Quixote de La Mancha</t>
  </si>
  <si>
    <t>Miguel de Cervantes</t>
  </si>
  <si>
    <t>O Pequeno Príncipe</t>
  </si>
  <si>
    <t>Antoine de Saint-Exupéry</t>
  </si>
  <si>
    <t>Agir</t>
  </si>
  <si>
    <t>Livro das Mil e Uma Noites, Volume I</t>
  </si>
  <si>
    <t>Pérsia</t>
  </si>
  <si>
    <t>Oriente Médio</t>
  </si>
  <si>
    <t>O Andar do Bêbado</t>
  </si>
  <si>
    <t>Leonard Mlodinow</t>
  </si>
  <si>
    <t>Herdeiras do Mar</t>
  </si>
  <si>
    <t>Mary Lynn Bracht</t>
  </si>
  <si>
    <t>Paralela</t>
  </si>
  <si>
    <t>Circe</t>
  </si>
  <si>
    <t>Madeline Miller</t>
  </si>
  <si>
    <t>Crônica de uma Morte Anunciada</t>
  </si>
  <si>
    <t>Cachorro Velho</t>
  </si>
  <si>
    <t>Cuba</t>
  </si>
  <si>
    <t>Teresa Cárdenas</t>
  </si>
  <si>
    <t>Pallas</t>
  </si>
  <si>
    <t>Conversa no Catedral</t>
  </si>
  <si>
    <t>Peru</t>
  </si>
  <si>
    <t>Mario Vargas Llosa</t>
  </si>
  <si>
    <t>Maria Bonita: Sexo, violência e mulheres no cangaço</t>
  </si>
  <si>
    <t>Biografia</t>
  </si>
  <si>
    <t>Adriana Negreiros</t>
  </si>
  <si>
    <t>Vamos Comprar um Poeta</t>
  </si>
  <si>
    <t>Afonso Cruz</t>
  </si>
  <si>
    <t>Dublinense</t>
  </si>
  <si>
    <t>Frankenstein</t>
  </si>
  <si>
    <t>Mary Shelley</t>
  </si>
  <si>
    <t>Memorial do Convento</t>
  </si>
  <si>
    <t>O Lobo da Estepe</t>
  </si>
  <si>
    <t>Herman Hesse</t>
  </si>
  <si>
    <t>A hora da Estrela</t>
  </si>
  <si>
    <t>Clarice Lispector</t>
  </si>
  <si>
    <t>Triste Fim de Policarpo Quaresma</t>
  </si>
  <si>
    <t>Lima Barreto</t>
  </si>
  <si>
    <t>Travessuras da Menina Má</t>
  </si>
  <si>
    <t>Guerra e Paz Vol. I</t>
  </si>
  <si>
    <t>Só Garotos</t>
  </si>
  <si>
    <t>Patti Smith</t>
  </si>
  <si>
    <t>Belo Mundo, Onde Você Está</t>
  </si>
  <si>
    <t>Sally rooney</t>
  </si>
  <si>
    <t>Úrsula</t>
  </si>
  <si>
    <t>Maria Firmina dos Reis</t>
  </si>
  <si>
    <t>Quincas Borba</t>
  </si>
  <si>
    <t>Pessoas Normais</t>
  </si>
  <si>
    <t>O Avesso da Pele</t>
  </si>
  <si>
    <t>Jeferson Tenório</t>
  </si>
  <si>
    <t>Maus</t>
  </si>
  <si>
    <t>HQ</t>
  </si>
  <si>
    <t>Suécia</t>
  </si>
  <si>
    <t>Art Spiegelman</t>
  </si>
  <si>
    <t>Kafka à Beira-mar</t>
  </si>
  <si>
    <t>Correntes</t>
  </si>
  <si>
    <t>Pais e Filhos</t>
  </si>
  <si>
    <t>Ivan Turguêniev</t>
  </si>
  <si>
    <t>Fogo e Sangue</t>
  </si>
  <si>
    <t>Suma</t>
  </si>
  <si>
    <t>Violeta</t>
  </si>
  <si>
    <t>Ficção 2006-2014</t>
  </si>
  <si>
    <t>Alejandro Zambra</t>
  </si>
  <si>
    <t>Sobre a Terra Somos Belos por Um Instante</t>
  </si>
  <si>
    <t>Ocean Vuong</t>
  </si>
  <si>
    <t>A Amiga Genial</t>
  </si>
  <si>
    <t>Elena Ferrante</t>
  </si>
  <si>
    <t>Homens Imprudentemente Poéticos</t>
  </si>
  <si>
    <t>Macunaíma</t>
  </si>
  <si>
    <t>Mário de Andrade</t>
  </si>
  <si>
    <t>Mensagem</t>
  </si>
  <si>
    <t>Fernando Pessoa</t>
  </si>
  <si>
    <t>Clube de Literatura Clássica</t>
  </si>
  <si>
    <t>Os Supridores</t>
  </si>
  <si>
    <t>José Falero</t>
  </si>
  <si>
    <t>Livro do Desassossego</t>
  </si>
  <si>
    <t>A Cachorra</t>
  </si>
  <si>
    <t>Pilar Quintana</t>
  </si>
  <si>
    <t>Tudo é Rio</t>
  </si>
  <si>
    <t>Carla Madeira</t>
  </si>
  <si>
    <t>Conversas Entre Amigos</t>
  </si>
  <si>
    <t>As Doenças do Brasil</t>
  </si>
  <si>
    <t>Não Podes Caber em Palavra Alguma</t>
  </si>
  <si>
    <t>?</t>
  </si>
  <si>
    <t>*</t>
  </si>
  <si>
    <t>Léxico Familiar</t>
  </si>
  <si>
    <t>Natália Ginzburg</t>
  </si>
  <si>
    <t>Eu, Tituba</t>
  </si>
  <si>
    <t>Guadalupe</t>
  </si>
  <si>
    <t>Maryse Condé</t>
  </si>
  <si>
    <t>Rosa dos Tempos</t>
  </si>
  <si>
    <t>O Povo Brasileiro</t>
  </si>
  <si>
    <t>Sociologia</t>
  </si>
  <si>
    <t>Darcy Ribeiro</t>
  </si>
  <si>
    <t>Global</t>
  </si>
  <si>
    <t>Arlindo</t>
  </si>
  <si>
    <t>Ilustralu</t>
  </si>
  <si>
    <t>Seguinte</t>
  </si>
  <si>
    <t>Poeta Chileno</t>
  </si>
  <si>
    <t>O Jogo da Amarelinha</t>
  </si>
  <si>
    <t>Julio Cortázar</t>
  </si>
  <si>
    <t>Iluminações/Um Tempo no Inferno</t>
  </si>
  <si>
    <t>Arthur Rimbaud</t>
  </si>
  <si>
    <t>Veinte Poemas de Amor y Uma Canción Desesperada</t>
  </si>
  <si>
    <t>Pablo Neruda</t>
  </si>
  <si>
    <t>Seix Barral</t>
  </si>
  <si>
    <t>Luxúria</t>
  </si>
  <si>
    <t>Raven Leilani</t>
  </si>
  <si>
    <t>Os Filhos da Palestina</t>
  </si>
  <si>
    <t>Palestina</t>
  </si>
  <si>
    <t>Ghassan Kanafani</t>
  </si>
  <si>
    <t>Lavra Palavra</t>
  </si>
  <si>
    <t>Antologia Poética</t>
  </si>
  <si>
    <t>Carlos Drummond de Andrade</t>
  </si>
  <si>
    <t>O Quarto de Giovanni</t>
  </si>
  <si>
    <t>James Baldwin</t>
  </si>
  <si>
    <t>Moby Dick</t>
  </si>
  <si>
    <t>Herman Melville</t>
  </si>
  <si>
    <t>Trinta Segundos Sem Pensar no Medo</t>
  </si>
  <si>
    <t>Pedro Pacífico</t>
  </si>
  <si>
    <t>Quando Deixamos de Entender o Mundo</t>
  </si>
  <si>
    <t>Biografia Romanceada</t>
  </si>
  <si>
    <t>Holanda</t>
  </si>
  <si>
    <t>Benjamin Labatut</t>
  </si>
  <si>
    <t>Meu Ano de Descanso e Relaxamento</t>
  </si>
  <si>
    <t>Ottessa Moshfegh</t>
  </si>
  <si>
    <t>A Vida Pela Frente</t>
  </si>
  <si>
    <t>Romain Gary</t>
  </si>
  <si>
    <t>O Lugar</t>
  </si>
  <si>
    <t>Annie Ernaux</t>
  </si>
  <si>
    <t>Fósforo</t>
  </si>
  <si>
    <t>Brancura</t>
  </si>
  <si>
    <t>Jon Fosse</t>
  </si>
  <si>
    <t>Ciranda de Pedra</t>
  </si>
  <si>
    <t>Lygia Fagundes Telles</t>
  </si>
  <si>
    <t>El Licancabur Tiene su Historia, Todos los Cerros la Tienen</t>
  </si>
  <si>
    <t>Ediciones del Desierto</t>
  </si>
  <si>
    <t>Amanhã, Amanhã, e Ainda Outro Amanhã</t>
  </si>
  <si>
    <t>Gabrielle Zevin</t>
  </si>
  <si>
    <t>Fechado por Motivo de Futebol</t>
  </si>
  <si>
    <t>Ideias para Adiar o Fim do Mundo</t>
  </si>
  <si>
    <t>Socioecologia</t>
  </si>
  <si>
    <t>Ailton Krenak</t>
  </si>
  <si>
    <t>Indígena</t>
  </si>
  <si>
    <t>Ioga</t>
  </si>
  <si>
    <t>Emmanuel Carrere</t>
  </si>
  <si>
    <t>Realismo Capitalista</t>
  </si>
  <si>
    <t>Política</t>
  </si>
  <si>
    <t>Mark Fisher</t>
  </si>
  <si>
    <t>Autonomia Literária</t>
  </si>
  <si>
    <t>O Nome da Rosa</t>
  </si>
  <si>
    <t>Umberto Eco</t>
  </si>
  <si>
    <t>A História da Arte</t>
  </si>
  <si>
    <t>Áustria</t>
  </si>
  <si>
    <t>E. H. Gombrich</t>
  </si>
  <si>
    <t>LTC</t>
  </si>
  <si>
    <t>Um Artista do Mundo Flutuante</t>
  </si>
  <si>
    <t>Vidas Secas</t>
  </si>
  <si>
    <t>Graciliano Ramos</t>
  </si>
  <si>
    <t>Cartas a um Jovem Poeta</t>
  </si>
  <si>
    <t>Rainer Maria Rilke</t>
  </si>
  <si>
    <t>Tetralogia Napolitana: História do Novo Sobrenome</t>
  </si>
  <si>
    <t>Mulheres, Raça e Classe</t>
  </si>
  <si>
    <t>Angela Davis</t>
  </si>
  <si>
    <t>Boitempo</t>
  </si>
  <si>
    <t>Amada</t>
  </si>
  <si>
    <t>Toni Morrison</t>
  </si>
  <si>
    <t>A Fé e o Fuzil</t>
  </si>
  <si>
    <t>Bruno Paes Manso</t>
  </si>
  <si>
    <t>Quarto de Despejo</t>
  </si>
  <si>
    <t>Diário</t>
  </si>
  <si>
    <t>Carolina Maria de Jesus</t>
  </si>
  <si>
    <t>Traficantes Evangélicos</t>
  </si>
  <si>
    <t>Viviane Costa</t>
  </si>
  <si>
    <t>Thomas Nelson Brasil</t>
  </si>
  <si>
    <t>Psicose</t>
  </si>
  <si>
    <t>Horror</t>
  </si>
  <si>
    <t>Robert Bloch</t>
  </si>
  <si>
    <t>A Autobiografia da Minha Mãe</t>
  </si>
  <si>
    <t>Antígua e Barbuda</t>
  </si>
  <si>
    <t>Jamaica Kincaid</t>
  </si>
  <si>
    <t>A Fantástica Vida Breve de Oscar Wao</t>
  </si>
  <si>
    <t>República Dominicana</t>
  </si>
  <si>
    <t>Junot Díaz</t>
  </si>
  <si>
    <t>Em Agosto nos Vemos</t>
  </si>
  <si>
    <t>Conto</t>
  </si>
  <si>
    <t>Contra Mim</t>
  </si>
  <si>
    <t>O Homem Duplicado</t>
  </si>
  <si>
    <t>A Mais Recôndita Memória dos Homens</t>
  </si>
  <si>
    <t>Senegal</t>
  </si>
  <si>
    <t>Mohamed Mbougar Sarr</t>
  </si>
  <si>
    <t>Olhos D'água</t>
  </si>
  <si>
    <t>Conceição Evaristo</t>
  </si>
  <si>
    <t>Bambino a Roma</t>
  </si>
  <si>
    <t>Chico Buarque</t>
  </si>
  <si>
    <t>Essa Gente</t>
  </si>
  <si>
    <t>Tetralogia Napolitana: História de Quem Foge e de Quem Fica</t>
  </si>
  <si>
    <t>Um Defeito de Cor</t>
  </si>
  <si>
    <t>Ana Maria Gonçalves</t>
  </si>
  <si>
    <t>O Retrato de Dorian Gray</t>
  </si>
  <si>
    <t>Oscar Wilde</t>
  </si>
  <si>
    <t>Rota 66</t>
  </si>
  <si>
    <t>Caco Barcelos</t>
  </si>
  <si>
    <t>A Voz das Águas</t>
  </si>
  <si>
    <t>Sudão</t>
  </si>
  <si>
    <t>Leila Aboulela</t>
  </si>
  <si>
    <t>Players Handbook</t>
  </si>
  <si>
    <t>RPG</t>
  </si>
  <si>
    <t>Wizards of The Coast</t>
  </si>
  <si>
    <t>Wizards of the Coast</t>
  </si>
  <si>
    <t>Dona Bárbara</t>
  </si>
  <si>
    <t>Venezuela</t>
  </si>
  <si>
    <t>Rómulo Gallegos</t>
  </si>
  <si>
    <t>Pinard</t>
  </si>
  <si>
    <t>Nove Noites</t>
  </si>
  <si>
    <t>Bernardo Carvalho</t>
  </si>
  <si>
    <t>Quem Matou meu Pai</t>
  </si>
  <si>
    <t>Edouard Louis</t>
  </si>
  <si>
    <t>Livro Sobre Nada</t>
  </si>
  <si>
    <t>Manoel de Barros</t>
  </si>
  <si>
    <t>A Vegetariana</t>
  </si>
  <si>
    <t>Coreia do Sul</t>
  </si>
  <si>
    <t>Han Kang</t>
  </si>
  <si>
    <t>Latim em Pó</t>
  </si>
  <si>
    <t>Linguística</t>
  </si>
  <si>
    <t>Caetano Galindo</t>
  </si>
  <si>
    <t>Nós: Atlântico em Solitário</t>
  </si>
  <si>
    <t>Tamara Klink</t>
  </si>
  <si>
    <t>Mau Hábito</t>
  </si>
  <si>
    <t>Alana Portero</t>
  </si>
  <si>
    <t>Amarcord</t>
  </si>
  <si>
    <t>Terra Estranha</t>
  </si>
  <si>
    <t>A Palavra que Resta</t>
  </si>
  <si>
    <t>Stenio Gardel</t>
  </si>
  <si>
    <t>Distraídos Venceremos</t>
  </si>
  <si>
    <t>Paulo Leminski</t>
  </si>
  <si>
    <t>É Assim que se Perde a Guerra do Tempo</t>
  </si>
  <si>
    <t>Amal El-Mohtar</t>
  </si>
  <si>
    <t>A Vida Não é Útil</t>
  </si>
  <si>
    <t>Oração para Desaparecer</t>
  </si>
  <si>
    <t>Socorro Acioli</t>
  </si>
  <si>
    <t>Mudar: Método</t>
  </si>
  <si>
    <t>Lunch Poems</t>
  </si>
  <si>
    <t>Frank O'Hara</t>
  </si>
  <si>
    <t>City Lights Books</t>
  </si>
  <si>
    <t>Coisa que Não Edifica Nem Destrói</t>
  </si>
  <si>
    <t>Ensaio</t>
  </si>
  <si>
    <t>Ricardo Araújo Pereira</t>
  </si>
  <si>
    <t>Tinta da China Brasil</t>
  </si>
  <si>
    <t>Howl and Other Poems</t>
  </si>
  <si>
    <t>Allen Ginsberg</t>
  </si>
  <si>
    <t>A História da Menina Perdida</t>
  </si>
  <si>
    <t>Dois Irmãos</t>
  </si>
  <si>
    <t>Milton Hatoum</t>
  </si>
  <si>
    <t>Futuro Ancestral</t>
  </si>
  <si>
    <t>Coisa de Rico</t>
  </si>
  <si>
    <t>Michel Alcoforado</t>
  </si>
  <si>
    <t>Lutas e Metamorfoses de uma Mulher</t>
  </si>
  <si>
    <t>Monique se Liberta</t>
  </si>
  <si>
    <t>V13</t>
  </si>
  <si>
    <t>Casas Estranhas</t>
  </si>
  <si>
    <t>Uketsu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</si>
</sst>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4" xfId="0" applyAlignment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DB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350" displayName="Table_1" name="Table_1" id="1">
  <tableColumns count="16">
    <tableColumn name="ID" id="1"/>
    <tableColumn name="Título" id="2"/>
    <tableColumn name="Gênero" id="3"/>
    <tableColumn name="Ficção" id="4"/>
    <tableColumn name="País" id="5"/>
    <tableColumn name="Região" id="6"/>
    <tableColumn name="Autor" id="7"/>
    <tableColumn name="Ano de Publicação" id="8"/>
    <tableColumn name="Séc" id="9"/>
    <tableColumn name="Editora" id="10"/>
    <tableColumn name="Sexo Autor" id="11"/>
    <tableColumn name="Etnia" id="12"/>
    <tableColumn name="Autor/Temática LGBTQIA+?" id="13"/>
    <tableColumn name="Páginas" id="14"/>
    <tableColumn name="Conclusão" id="15"/>
    <tableColumn name="Nota" id="16"/>
  </tableColumns>
  <tableStyleInfo name="D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4" width="32.57"/>
    <col customWidth="1" min="5" max="5" width="11.71"/>
    <col customWidth="1" min="6" max="6" width="16.29"/>
    <col customWidth="1" min="7" max="7" width="27.14"/>
    <col customWidth="1" min="8" max="8" width="20.71"/>
    <col customWidth="1" min="9" max="9" width="11.14"/>
    <col customWidth="1" min="10" max="10" width="23.43"/>
    <col customWidth="1" min="11" max="11" width="8.71"/>
    <col customWidth="1" min="12" max="13" width="18.57"/>
    <col customWidth="1" min="14" max="15" width="14.71"/>
    <col customWidth="1" min="16" max="16" width="13.4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3"/>
      <c r="B2" s="4" t="s">
        <v>16</v>
      </c>
      <c r="C2" s="4" t="s">
        <v>17</v>
      </c>
      <c r="D2" s="4" t="s">
        <v>18</v>
      </c>
      <c r="E2" s="3" t="s">
        <v>19</v>
      </c>
      <c r="F2" s="3" t="s">
        <v>20</v>
      </c>
      <c r="G2" s="3" t="s">
        <v>21</v>
      </c>
      <c r="H2" s="3">
        <v>1984.0</v>
      </c>
      <c r="I2" s="3" t="str">
        <f>IF(DB!$H2&gt;1000,LEFT(DB!$H2,2)+1,LEFT(DB!$H2,1)+1)</f>
        <v>20</v>
      </c>
      <c r="J2" s="3" t="s">
        <v>22</v>
      </c>
      <c r="K2" s="3" t="s">
        <v>23</v>
      </c>
      <c r="L2" s="3" t="s">
        <v>24</v>
      </c>
      <c r="M2" s="3"/>
      <c r="N2" s="3">
        <v>191.0</v>
      </c>
      <c r="O2" s="5">
        <v>43831.0</v>
      </c>
      <c r="P2" s="3">
        <v>3.5</v>
      </c>
    </row>
    <row r="3" ht="14.25" customHeight="1">
      <c r="A3" s="3"/>
      <c r="B3" s="4" t="s">
        <v>25</v>
      </c>
      <c r="C3" s="4" t="s">
        <v>17</v>
      </c>
      <c r="D3" s="4" t="s">
        <v>18</v>
      </c>
      <c r="E3" s="3" t="s">
        <v>19</v>
      </c>
      <c r="F3" s="3" t="s">
        <v>20</v>
      </c>
      <c r="G3" s="3" t="s">
        <v>21</v>
      </c>
      <c r="H3" s="3">
        <v>1993.0</v>
      </c>
      <c r="I3" s="3" t="str">
        <f>IF(DB!$H3&gt;1000,LEFT(DB!$H3,2)+1,LEFT(DB!$H3,1)+1)</f>
        <v>20</v>
      </c>
      <c r="J3" s="3" t="s">
        <v>22</v>
      </c>
      <c r="K3" s="3" t="s">
        <v>23</v>
      </c>
      <c r="L3" s="3" t="s">
        <v>24</v>
      </c>
      <c r="M3" s="3"/>
      <c r="N3" s="3">
        <v>176.0</v>
      </c>
      <c r="O3" s="5">
        <v>43831.0</v>
      </c>
      <c r="P3" s="3">
        <v>3.5</v>
      </c>
    </row>
    <row r="4" ht="14.25" customHeight="1">
      <c r="A4" s="3"/>
      <c r="B4" s="4" t="s">
        <v>26</v>
      </c>
      <c r="C4" s="4" t="s">
        <v>17</v>
      </c>
      <c r="D4" s="4" t="s">
        <v>18</v>
      </c>
      <c r="E4" s="3" t="s">
        <v>19</v>
      </c>
      <c r="F4" s="3" t="s">
        <v>20</v>
      </c>
      <c r="G4" s="3" t="s">
        <v>21</v>
      </c>
      <c r="H4" s="3">
        <v>1985.0</v>
      </c>
      <c r="I4" s="3" t="str">
        <f>IF(DB!$H4&gt;1000,LEFT(DB!$H4,2)+1,LEFT(DB!$H4,1)+1)</f>
        <v>20</v>
      </c>
      <c r="J4" s="3" t="s">
        <v>22</v>
      </c>
      <c r="K4" s="3" t="s">
        <v>23</v>
      </c>
      <c r="L4" s="3" t="s">
        <v>24</v>
      </c>
      <c r="M4" s="3"/>
      <c r="N4" s="3">
        <v>176.0</v>
      </c>
      <c r="O4" s="5">
        <v>43831.0</v>
      </c>
      <c r="P4" s="3">
        <v>3.5</v>
      </c>
    </row>
    <row r="5" ht="14.25" customHeight="1">
      <c r="A5" s="3"/>
      <c r="B5" s="4" t="s">
        <v>27</v>
      </c>
      <c r="C5" s="4" t="s">
        <v>28</v>
      </c>
      <c r="D5" s="4" t="s">
        <v>18</v>
      </c>
      <c r="E5" s="3" t="s">
        <v>29</v>
      </c>
      <c r="F5" s="3" t="s">
        <v>30</v>
      </c>
      <c r="G5" s="3" t="s">
        <v>31</v>
      </c>
      <c r="H5" s="3">
        <v>1979.0</v>
      </c>
      <c r="I5" s="3" t="str">
        <f>IF(DB!$H5&gt;1000,LEFT(DB!$H5,2)+1,LEFT(DB!$H5,1)+1)</f>
        <v>20</v>
      </c>
      <c r="J5" s="3" t="s">
        <v>32</v>
      </c>
      <c r="K5" s="3" t="s">
        <v>33</v>
      </c>
      <c r="L5" s="3" t="s">
        <v>34</v>
      </c>
      <c r="M5" s="3"/>
      <c r="N5" s="3">
        <v>320.0</v>
      </c>
      <c r="O5" s="5">
        <v>43831.0</v>
      </c>
      <c r="P5" s="3">
        <v>5.0</v>
      </c>
    </row>
    <row r="6" ht="14.25" customHeight="1">
      <c r="A6" s="3"/>
      <c r="B6" s="4" t="s">
        <v>35</v>
      </c>
      <c r="C6" s="4" t="s">
        <v>28</v>
      </c>
      <c r="D6" s="4" t="s">
        <v>18</v>
      </c>
      <c r="E6" s="3" t="s">
        <v>36</v>
      </c>
      <c r="F6" s="3" t="s">
        <v>37</v>
      </c>
      <c r="G6" s="3" t="s">
        <v>38</v>
      </c>
      <c r="H6" s="3">
        <v>2017.0</v>
      </c>
      <c r="I6" s="3" t="str">
        <f>IF(DB!$H6&gt;1000,LEFT(DB!$H6,2)+1,LEFT(DB!$H6,1)+1)</f>
        <v>21</v>
      </c>
      <c r="J6" s="3" t="s">
        <v>39</v>
      </c>
      <c r="K6" s="3" t="s">
        <v>23</v>
      </c>
      <c r="L6" s="3" t="s">
        <v>24</v>
      </c>
      <c r="M6" s="3"/>
      <c r="N6" s="3">
        <v>432.0</v>
      </c>
      <c r="O6" s="5">
        <v>43831.0</v>
      </c>
      <c r="P6" s="3">
        <v>4.0</v>
      </c>
    </row>
    <row r="7" ht="14.25" customHeight="1">
      <c r="A7" s="3"/>
      <c r="B7" s="4" t="s">
        <v>40</v>
      </c>
      <c r="C7" s="4" t="s">
        <v>17</v>
      </c>
      <c r="D7" s="4" t="s">
        <v>18</v>
      </c>
      <c r="E7" s="3" t="s">
        <v>41</v>
      </c>
      <c r="F7" s="3" t="s">
        <v>42</v>
      </c>
      <c r="G7" s="3" t="s">
        <v>43</v>
      </c>
      <c r="H7" s="3">
        <v>1982.0</v>
      </c>
      <c r="I7" s="3" t="str">
        <f>IF(DB!$H7&gt;1000,LEFT(DB!$H7,2)+1,LEFT(DB!$H7,1)+1)</f>
        <v>20</v>
      </c>
      <c r="J7" s="3" t="s">
        <v>44</v>
      </c>
      <c r="K7" s="3" t="s">
        <v>23</v>
      </c>
      <c r="L7" s="3" t="s">
        <v>24</v>
      </c>
      <c r="M7" s="3"/>
      <c r="N7" s="3">
        <v>160.0</v>
      </c>
      <c r="O7" s="5">
        <v>43831.0</v>
      </c>
      <c r="P7" s="3">
        <v>3.5</v>
      </c>
    </row>
    <row r="8" ht="14.25" customHeight="1">
      <c r="A8" s="3"/>
      <c r="B8" s="4" t="s">
        <v>45</v>
      </c>
      <c r="C8" s="4" t="s">
        <v>28</v>
      </c>
      <c r="D8" s="4" t="s">
        <v>18</v>
      </c>
      <c r="E8" s="3" t="s">
        <v>36</v>
      </c>
      <c r="F8" s="3" t="s">
        <v>37</v>
      </c>
      <c r="G8" s="3" t="s">
        <v>38</v>
      </c>
      <c r="H8" s="3">
        <v>1998.0</v>
      </c>
      <c r="I8" s="3" t="str">
        <f>IF(DB!$H8&gt;1000,LEFT(DB!$H8,2)+1,LEFT(DB!$H8,1)+1)</f>
        <v>20</v>
      </c>
      <c r="J8" s="3" t="s">
        <v>39</v>
      </c>
      <c r="K8" s="3" t="s">
        <v>23</v>
      </c>
      <c r="L8" s="3" t="s">
        <v>24</v>
      </c>
      <c r="M8" s="3"/>
      <c r="N8" s="3">
        <v>336.0</v>
      </c>
      <c r="O8" s="5">
        <v>43831.0</v>
      </c>
      <c r="P8" s="3">
        <v>4.0</v>
      </c>
    </row>
    <row r="9" ht="14.25" customHeight="1">
      <c r="A9" s="3"/>
      <c r="B9" s="4" t="s">
        <v>46</v>
      </c>
      <c r="C9" s="4" t="s">
        <v>28</v>
      </c>
      <c r="D9" s="4" t="s">
        <v>18</v>
      </c>
      <c r="E9" s="3" t="s">
        <v>47</v>
      </c>
      <c r="F9" s="3" t="s">
        <v>42</v>
      </c>
      <c r="G9" s="3" t="s">
        <v>48</v>
      </c>
      <c r="H9" s="3">
        <v>1872.0</v>
      </c>
      <c r="I9" s="3" t="str">
        <f>IF(DB!$H9&gt;1000,LEFT(DB!$H9,2)+1,LEFT(DB!$H9,1)+1)</f>
        <v>19</v>
      </c>
      <c r="J9" s="3" t="s">
        <v>49</v>
      </c>
      <c r="K9" s="3" t="s">
        <v>23</v>
      </c>
      <c r="L9" s="3" t="s">
        <v>24</v>
      </c>
      <c r="M9" s="3"/>
      <c r="N9" s="3">
        <v>240.0</v>
      </c>
      <c r="O9" s="5">
        <v>43831.0</v>
      </c>
      <c r="P9" s="3">
        <v>3.5</v>
      </c>
    </row>
    <row r="10" ht="14.25" customHeight="1">
      <c r="A10" s="3"/>
      <c r="B10" s="4" t="s">
        <v>50</v>
      </c>
      <c r="C10" s="4" t="s">
        <v>28</v>
      </c>
      <c r="D10" s="4" t="s">
        <v>18</v>
      </c>
      <c r="E10" s="3" t="s">
        <v>36</v>
      </c>
      <c r="F10" s="3" t="s">
        <v>37</v>
      </c>
      <c r="G10" s="3" t="s">
        <v>38</v>
      </c>
      <c r="H10" s="3">
        <v>2003.0</v>
      </c>
      <c r="I10" s="3" t="str">
        <f>IF(DB!$H10&gt;1000,LEFT(DB!$H10,2)+1,LEFT(DB!$H10,1)+1)</f>
        <v>21</v>
      </c>
      <c r="J10" s="3" t="s">
        <v>39</v>
      </c>
      <c r="K10" s="3" t="s">
        <v>23</v>
      </c>
      <c r="L10" s="3" t="s">
        <v>24</v>
      </c>
      <c r="M10" s="3"/>
      <c r="N10" s="3">
        <v>432.0</v>
      </c>
      <c r="O10" s="5">
        <v>43831.0</v>
      </c>
      <c r="P10" s="3">
        <v>4.5</v>
      </c>
    </row>
    <row r="11" ht="14.25" customHeight="1">
      <c r="A11" s="3"/>
      <c r="B11" s="4" t="s">
        <v>51</v>
      </c>
      <c r="C11" s="4" t="s">
        <v>28</v>
      </c>
      <c r="D11" s="4" t="s">
        <v>18</v>
      </c>
      <c r="E11" s="3" t="s">
        <v>36</v>
      </c>
      <c r="F11" s="3" t="s">
        <v>37</v>
      </c>
      <c r="G11" s="3" t="s">
        <v>38</v>
      </c>
      <c r="H11" s="3">
        <v>2009.0</v>
      </c>
      <c r="I11" s="3" t="str">
        <f>IF(DB!$H11&gt;1000,LEFT(DB!$H11,2)+1,LEFT(DB!$H11,1)+1)</f>
        <v>21</v>
      </c>
      <c r="J11" s="3" t="s">
        <v>39</v>
      </c>
      <c r="K11" s="3" t="s">
        <v>23</v>
      </c>
      <c r="L11" s="3" t="s">
        <v>24</v>
      </c>
      <c r="M11" s="3"/>
      <c r="N11" s="3">
        <v>496.0</v>
      </c>
      <c r="O11" s="5">
        <v>43831.0</v>
      </c>
      <c r="P11" s="3">
        <v>3.0</v>
      </c>
    </row>
    <row r="12" ht="14.25" customHeight="1">
      <c r="A12" s="3"/>
      <c r="B12" s="4" t="s">
        <v>52</v>
      </c>
      <c r="C12" s="4" t="s">
        <v>28</v>
      </c>
      <c r="D12" s="4" t="s">
        <v>18</v>
      </c>
      <c r="E12" s="3" t="s">
        <v>36</v>
      </c>
      <c r="F12" s="3" t="s">
        <v>37</v>
      </c>
      <c r="G12" s="3" t="s">
        <v>38</v>
      </c>
      <c r="H12" s="3">
        <v>2001.0</v>
      </c>
      <c r="I12" s="3" t="str">
        <f>IF(DB!$H12&gt;1000,LEFT(DB!$H12,2)+1,LEFT(DB!$H12,1)+1)</f>
        <v>21</v>
      </c>
      <c r="J12" s="3" t="s">
        <v>39</v>
      </c>
      <c r="K12" s="3" t="s">
        <v>23</v>
      </c>
      <c r="L12" s="3" t="s">
        <v>24</v>
      </c>
      <c r="M12" s="3"/>
      <c r="N12" s="3">
        <v>448.0</v>
      </c>
      <c r="O12" s="5">
        <v>43831.0</v>
      </c>
      <c r="P12" s="3">
        <v>4.0</v>
      </c>
    </row>
    <row r="13" ht="14.25" customHeight="1">
      <c r="A13" s="3"/>
      <c r="B13" s="4" t="s">
        <v>53</v>
      </c>
      <c r="C13" s="4" t="s">
        <v>54</v>
      </c>
      <c r="D13" s="4" t="s">
        <v>18</v>
      </c>
      <c r="E13" s="3" t="s">
        <v>55</v>
      </c>
      <c r="F13" s="3" t="s">
        <v>42</v>
      </c>
      <c r="G13" s="3" t="s">
        <v>56</v>
      </c>
      <c r="H13" s="3">
        <v>1320.0</v>
      </c>
      <c r="I13" s="3" t="str">
        <f>IF(DB!$H13&gt;1000,LEFT(DB!$H13,2)+1,LEFT(DB!$H13,1)+1)</f>
        <v>14</v>
      </c>
      <c r="J13" s="3" t="s">
        <v>57</v>
      </c>
      <c r="K13" s="3" t="s">
        <v>23</v>
      </c>
      <c r="L13" s="3" t="s">
        <v>24</v>
      </c>
      <c r="M13" s="3"/>
      <c r="N13" s="3">
        <v>176.0</v>
      </c>
      <c r="O13" s="5">
        <v>43831.0</v>
      </c>
      <c r="P13" s="3">
        <v>3.5</v>
      </c>
    </row>
    <row r="14" ht="14.25" customHeight="1">
      <c r="A14" s="3"/>
      <c r="B14" s="4" t="s">
        <v>58</v>
      </c>
      <c r="C14" s="4" t="s">
        <v>59</v>
      </c>
      <c r="D14" s="4" t="s">
        <v>60</v>
      </c>
      <c r="E14" s="3" t="s">
        <v>61</v>
      </c>
      <c r="F14" s="3" t="s">
        <v>42</v>
      </c>
      <c r="G14" s="3" t="s">
        <v>62</v>
      </c>
      <c r="H14" s="3">
        <v>2017.0</v>
      </c>
      <c r="I14" s="3" t="str">
        <f>IF(DB!$H14&gt;1000,LEFT(DB!$H14,2)+1,LEFT(DB!$H14,1)+1)</f>
        <v>21</v>
      </c>
      <c r="J14" s="3" t="s">
        <v>63</v>
      </c>
      <c r="K14" s="3" t="s">
        <v>23</v>
      </c>
      <c r="L14" s="3" t="s">
        <v>24</v>
      </c>
      <c r="M14" s="3"/>
      <c r="N14" s="3">
        <v>352.0</v>
      </c>
      <c r="O14" s="5">
        <v>43831.0</v>
      </c>
      <c r="P14" s="3">
        <v>3.5</v>
      </c>
    </row>
    <row r="15" ht="14.25" customHeight="1">
      <c r="A15" s="3"/>
      <c r="B15" s="4" t="s">
        <v>64</v>
      </c>
      <c r="C15" s="4" t="s">
        <v>17</v>
      </c>
      <c r="D15" s="4" t="s">
        <v>18</v>
      </c>
      <c r="E15" s="3" t="s">
        <v>41</v>
      </c>
      <c r="F15" s="3" t="s">
        <v>42</v>
      </c>
      <c r="G15" s="3" t="s">
        <v>43</v>
      </c>
      <c r="H15" s="3">
        <v>1987.0</v>
      </c>
      <c r="I15" s="3" t="str">
        <f>IF(DB!$H15&gt;1000,LEFT(DB!$H15,2)+1,LEFT(DB!$H15,1)+1)</f>
        <v>20</v>
      </c>
      <c r="J15" s="3" t="s">
        <v>44</v>
      </c>
      <c r="K15" s="3" t="s">
        <v>23</v>
      </c>
      <c r="L15" s="3" t="s">
        <v>24</v>
      </c>
      <c r="M15" s="3"/>
      <c r="N15" s="3">
        <v>306.0</v>
      </c>
      <c r="O15" s="5">
        <v>43831.0</v>
      </c>
      <c r="P15" s="3">
        <v>3.5</v>
      </c>
    </row>
    <row r="16" ht="14.25" customHeight="1">
      <c r="A16" s="3"/>
      <c r="B16" s="4" t="s">
        <v>65</v>
      </c>
      <c r="C16" s="4" t="s">
        <v>17</v>
      </c>
      <c r="D16" s="4" t="s">
        <v>60</v>
      </c>
      <c r="E16" s="3" t="s">
        <v>41</v>
      </c>
      <c r="F16" s="3" t="s">
        <v>42</v>
      </c>
      <c r="G16" s="3" t="s">
        <v>66</v>
      </c>
      <c r="H16" s="3">
        <v>2001.0</v>
      </c>
      <c r="I16" s="3" t="str">
        <f>IF(DB!$H16&gt;1000,LEFT(DB!$H16,2)+1,LEFT(DB!$H16,1)+1)</f>
        <v>21</v>
      </c>
      <c r="J16" s="3" t="s">
        <v>67</v>
      </c>
      <c r="K16" s="3" t="s">
        <v>23</v>
      </c>
      <c r="L16" s="3" t="s">
        <v>24</v>
      </c>
      <c r="M16" s="3"/>
      <c r="N16" s="3">
        <v>192.0</v>
      </c>
      <c r="O16" s="5">
        <v>43831.0</v>
      </c>
      <c r="P16" s="3">
        <v>4.0</v>
      </c>
    </row>
    <row r="17" ht="14.25" customHeight="1">
      <c r="A17" s="3"/>
      <c r="B17" s="4" t="s">
        <v>68</v>
      </c>
      <c r="C17" s="4" t="s">
        <v>17</v>
      </c>
      <c r="D17" s="4" t="s">
        <v>18</v>
      </c>
      <c r="E17" s="3" t="s">
        <v>19</v>
      </c>
      <c r="F17" s="3" t="s">
        <v>20</v>
      </c>
      <c r="G17" s="3" t="s">
        <v>21</v>
      </c>
      <c r="H17" s="3">
        <v>1989.0</v>
      </c>
      <c r="I17" s="3" t="str">
        <f>IF(DB!$H17&gt;1000,LEFT(DB!$H17,2)+1,LEFT(DB!$H17,1)+1)</f>
        <v>20</v>
      </c>
      <c r="J17" s="3" t="s">
        <v>22</v>
      </c>
      <c r="K17" s="3" t="s">
        <v>23</v>
      </c>
      <c r="L17" s="3" t="s">
        <v>24</v>
      </c>
      <c r="M17" s="3"/>
      <c r="N17" s="3">
        <v>142.0</v>
      </c>
      <c r="O17" s="5">
        <v>43831.0</v>
      </c>
      <c r="P17" s="3">
        <v>3.5</v>
      </c>
    </row>
    <row r="18" ht="14.25" customHeight="1">
      <c r="A18" s="3"/>
      <c r="B18" s="4" t="s">
        <v>69</v>
      </c>
      <c r="C18" s="4" t="s">
        <v>28</v>
      </c>
      <c r="D18" s="4" t="s">
        <v>18</v>
      </c>
      <c r="E18" s="3" t="s">
        <v>36</v>
      </c>
      <c r="F18" s="3" t="s">
        <v>37</v>
      </c>
      <c r="G18" s="3" t="s">
        <v>38</v>
      </c>
      <c r="H18" s="3">
        <v>2000.0</v>
      </c>
      <c r="I18" s="3" t="str">
        <f>IF(DB!$H18&gt;1000,LEFT(DB!$H18,2)+1,LEFT(DB!$H18,1)+1)</f>
        <v>21</v>
      </c>
      <c r="J18" s="3" t="s">
        <v>39</v>
      </c>
      <c r="K18" s="3" t="s">
        <v>23</v>
      </c>
      <c r="L18" s="3" t="s">
        <v>24</v>
      </c>
      <c r="M18" s="3"/>
      <c r="N18" s="3">
        <v>464.0</v>
      </c>
      <c r="O18" s="5">
        <v>43831.0</v>
      </c>
      <c r="P18" s="3">
        <v>4.5</v>
      </c>
    </row>
    <row r="19" ht="14.25" customHeight="1">
      <c r="A19" s="3"/>
      <c r="B19" s="4" t="s">
        <v>70</v>
      </c>
      <c r="C19" s="4" t="s">
        <v>17</v>
      </c>
      <c r="D19" s="4" t="s">
        <v>18</v>
      </c>
      <c r="E19" s="3" t="s">
        <v>36</v>
      </c>
      <c r="F19" s="3" t="s">
        <v>37</v>
      </c>
      <c r="G19" s="3" t="s">
        <v>71</v>
      </c>
      <c r="H19" s="3">
        <v>2000.0</v>
      </c>
      <c r="I19" s="3" t="str">
        <f>IF(DB!$H19&gt;1000,LEFT(DB!$H19,2)+1,LEFT(DB!$H19,1)+1)</f>
        <v>21</v>
      </c>
      <c r="J19" s="3" t="s">
        <v>72</v>
      </c>
      <c r="K19" s="3" t="s">
        <v>23</v>
      </c>
      <c r="L19" s="3" t="s">
        <v>24</v>
      </c>
      <c r="M19" s="3"/>
      <c r="N19" s="3">
        <v>143.0</v>
      </c>
      <c r="O19" s="5">
        <v>43831.0</v>
      </c>
      <c r="P19" s="3">
        <v>3.5</v>
      </c>
    </row>
    <row r="20" ht="14.25" customHeight="1">
      <c r="A20" s="3"/>
      <c r="B20" s="4" t="s">
        <v>73</v>
      </c>
      <c r="C20" s="4" t="s">
        <v>28</v>
      </c>
      <c r="D20" s="4" t="s">
        <v>18</v>
      </c>
      <c r="E20" s="3" t="s">
        <v>74</v>
      </c>
      <c r="F20" s="3" t="s">
        <v>42</v>
      </c>
      <c r="G20" s="3" t="s">
        <v>75</v>
      </c>
      <c r="H20" s="3">
        <v>1956.0</v>
      </c>
      <c r="I20" s="3" t="str">
        <f>IF(DB!$H20&gt;1000,LEFT(DB!$H20,2)+1,LEFT(DB!$H20,1)+1)</f>
        <v>20</v>
      </c>
      <c r="J20" s="3" t="s">
        <v>76</v>
      </c>
      <c r="K20" s="3" t="s">
        <v>23</v>
      </c>
      <c r="L20" s="3" t="s">
        <v>24</v>
      </c>
      <c r="M20" s="3"/>
      <c r="N20" s="3">
        <v>752.0</v>
      </c>
      <c r="O20" s="5">
        <v>43831.0</v>
      </c>
      <c r="P20" s="3">
        <v>4.0</v>
      </c>
    </row>
    <row r="21" ht="14.25" customHeight="1">
      <c r="A21" s="3"/>
      <c r="B21" s="4" t="s">
        <v>77</v>
      </c>
      <c r="C21" s="4" t="s">
        <v>28</v>
      </c>
      <c r="D21" s="4" t="s">
        <v>18</v>
      </c>
      <c r="E21" s="3" t="s">
        <v>36</v>
      </c>
      <c r="F21" s="3" t="s">
        <v>37</v>
      </c>
      <c r="G21" s="3" t="s">
        <v>78</v>
      </c>
      <c r="H21" s="3">
        <v>1952.0</v>
      </c>
      <c r="I21" s="3" t="str">
        <f>IF(DB!$H21&gt;1000,LEFT(DB!$H21,2)+1,LEFT(DB!$H21,1)+1)</f>
        <v>20</v>
      </c>
      <c r="J21" s="3" t="s">
        <v>79</v>
      </c>
      <c r="K21" s="3" t="s">
        <v>23</v>
      </c>
      <c r="L21" s="3" t="s">
        <v>24</v>
      </c>
      <c r="M21" s="3"/>
      <c r="N21" s="3">
        <v>128.0</v>
      </c>
      <c r="O21" s="5">
        <v>43831.0</v>
      </c>
      <c r="P21" s="3">
        <v>3.0</v>
      </c>
    </row>
    <row r="22" ht="14.25" customHeight="1">
      <c r="A22" s="3"/>
      <c r="B22" s="4" t="s">
        <v>80</v>
      </c>
      <c r="C22" s="4" t="s">
        <v>28</v>
      </c>
      <c r="D22" s="4" t="s">
        <v>18</v>
      </c>
      <c r="E22" s="3" t="s">
        <v>36</v>
      </c>
      <c r="F22" s="3" t="s">
        <v>37</v>
      </c>
      <c r="G22" s="3" t="s">
        <v>81</v>
      </c>
      <c r="H22" s="3">
        <v>1925.0</v>
      </c>
      <c r="I22" s="3" t="str">
        <f>IF(DB!$H22&gt;1000,LEFT(DB!$H22,2)+1,LEFT(DB!$H22,1)+1)</f>
        <v>20</v>
      </c>
      <c r="J22" s="3" t="s">
        <v>79</v>
      </c>
      <c r="K22" s="3" t="s">
        <v>23</v>
      </c>
      <c r="L22" s="3" t="s">
        <v>24</v>
      </c>
      <c r="M22" s="3"/>
      <c r="N22" s="3">
        <v>240.0</v>
      </c>
      <c r="O22" s="5">
        <v>43831.0</v>
      </c>
      <c r="P22" s="3">
        <v>4.0</v>
      </c>
    </row>
    <row r="23" ht="14.25" customHeight="1">
      <c r="A23" s="3"/>
      <c r="B23" s="4" t="s">
        <v>82</v>
      </c>
      <c r="C23" s="4" t="s">
        <v>28</v>
      </c>
      <c r="D23" s="4" t="s">
        <v>18</v>
      </c>
      <c r="E23" s="3" t="s">
        <v>36</v>
      </c>
      <c r="F23" s="3" t="s">
        <v>37</v>
      </c>
      <c r="G23" s="3" t="s">
        <v>83</v>
      </c>
      <c r="H23" s="3">
        <v>1965.0</v>
      </c>
      <c r="I23" s="3" t="str">
        <f>IF(DB!$H23&gt;1000,LEFT(DB!$H23,2)+1,LEFT(DB!$H23,1)+1)</f>
        <v>20</v>
      </c>
      <c r="J23" s="3" t="s">
        <v>84</v>
      </c>
      <c r="K23" s="3" t="s">
        <v>23</v>
      </c>
      <c r="L23" s="3" t="s">
        <v>24</v>
      </c>
      <c r="M23" s="3"/>
      <c r="N23" s="3">
        <v>680.0</v>
      </c>
      <c r="O23" s="5">
        <v>43831.0</v>
      </c>
      <c r="P23" s="3">
        <v>4.0</v>
      </c>
    </row>
    <row r="24" ht="14.25" customHeight="1">
      <c r="A24" s="3"/>
      <c r="B24" s="4" t="s">
        <v>85</v>
      </c>
      <c r="C24" s="4" t="s">
        <v>28</v>
      </c>
      <c r="D24" s="4" t="s">
        <v>18</v>
      </c>
      <c r="E24" s="3" t="s">
        <v>86</v>
      </c>
      <c r="F24" s="3" t="s">
        <v>42</v>
      </c>
      <c r="G24" s="3" t="s">
        <v>87</v>
      </c>
      <c r="H24" s="3">
        <v>1958.0</v>
      </c>
      <c r="I24" s="3" t="str">
        <f>IF(DB!$H24&gt;1000,LEFT(DB!$H24,2)+1,LEFT(DB!$H24,1)+1)</f>
        <v>20</v>
      </c>
      <c r="J24" s="3" t="s">
        <v>32</v>
      </c>
      <c r="K24" s="3" t="s">
        <v>23</v>
      </c>
      <c r="L24" s="3" t="s">
        <v>24</v>
      </c>
      <c r="M24" s="3"/>
      <c r="N24" s="3">
        <v>226.0</v>
      </c>
      <c r="O24" s="5">
        <v>43831.0</v>
      </c>
      <c r="P24" s="3">
        <v>3.0</v>
      </c>
    </row>
    <row r="25" ht="14.25" customHeight="1">
      <c r="A25" s="3"/>
      <c r="B25" s="4" t="s">
        <v>88</v>
      </c>
      <c r="C25" s="4" t="s">
        <v>89</v>
      </c>
      <c r="D25" s="4" t="s">
        <v>18</v>
      </c>
      <c r="E25" s="3" t="s">
        <v>90</v>
      </c>
      <c r="F25" s="3" t="s">
        <v>42</v>
      </c>
      <c r="G25" s="3" t="s">
        <v>91</v>
      </c>
      <c r="H25" s="3">
        <v>1883.0</v>
      </c>
      <c r="I25" s="3" t="str">
        <f>IF(DB!$H25&gt;1000,LEFT(DB!$H25,2)+1,LEFT(DB!$H25,1)+1)</f>
        <v>19</v>
      </c>
      <c r="J25" s="3" t="s">
        <v>57</v>
      </c>
      <c r="K25" s="3" t="s">
        <v>23</v>
      </c>
      <c r="L25" s="3" t="s">
        <v>24</v>
      </c>
      <c r="M25" s="3"/>
      <c r="N25" s="3">
        <v>352.0</v>
      </c>
      <c r="O25" s="5">
        <v>43831.0</v>
      </c>
      <c r="P25" s="3">
        <v>3.0</v>
      </c>
    </row>
    <row r="26" ht="14.25" customHeight="1">
      <c r="A26" s="3"/>
      <c r="B26" s="4" t="s">
        <v>92</v>
      </c>
      <c r="C26" s="4" t="s">
        <v>93</v>
      </c>
      <c r="D26" s="4" t="s">
        <v>60</v>
      </c>
      <c r="E26" s="3" t="s">
        <v>90</v>
      </c>
      <c r="F26" s="3" t="s">
        <v>42</v>
      </c>
      <c r="G26" s="3" t="s">
        <v>91</v>
      </c>
      <c r="H26" s="3">
        <v>1908.0</v>
      </c>
      <c r="I26" s="3" t="str">
        <f>IF(DB!$H26&gt;1000,LEFT(DB!$H26,2)+1,LEFT(DB!$H26,1)+1)</f>
        <v>20</v>
      </c>
      <c r="J26" s="3" t="s">
        <v>57</v>
      </c>
      <c r="K26" s="3" t="s">
        <v>23</v>
      </c>
      <c r="L26" s="3" t="s">
        <v>24</v>
      </c>
      <c r="M26" s="3"/>
      <c r="N26" s="3">
        <v>144.0</v>
      </c>
      <c r="O26" s="5">
        <v>43831.0</v>
      </c>
      <c r="P26" s="3">
        <v>3.5</v>
      </c>
    </row>
    <row r="27" ht="14.25" customHeight="1">
      <c r="A27" s="3"/>
      <c r="B27" s="4" t="s">
        <v>94</v>
      </c>
      <c r="C27" s="4" t="s">
        <v>95</v>
      </c>
      <c r="D27" s="4" t="s">
        <v>60</v>
      </c>
      <c r="E27" s="3" t="s">
        <v>96</v>
      </c>
      <c r="F27" s="3" t="s">
        <v>42</v>
      </c>
      <c r="G27" s="3" t="s">
        <v>97</v>
      </c>
      <c r="H27" s="3">
        <v>1985.0</v>
      </c>
      <c r="I27" s="3" t="str">
        <f>IF(DB!$H27&gt;1000,LEFT(DB!$H27,2)+1,LEFT(DB!$H27,1)+1)</f>
        <v>20</v>
      </c>
      <c r="J27" s="3" t="s">
        <v>32</v>
      </c>
      <c r="K27" s="3" t="s">
        <v>33</v>
      </c>
      <c r="L27" s="3" t="s">
        <v>24</v>
      </c>
      <c r="M27" s="3"/>
      <c r="N27" s="3">
        <v>320.0</v>
      </c>
      <c r="O27" s="5">
        <v>43831.0</v>
      </c>
      <c r="P27" s="3">
        <v>5.0</v>
      </c>
    </row>
    <row r="28" ht="14.25" customHeight="1">
      <c r="A28" s="3"/>
      <c r="B28" s="4" t="s">
        <v>98</v>
      </c>
      <c r="C28" s="4" t="s">
        <v>28</v>
      </c>
      <c r="D28" s="4" t="s">
        <v>18</v>
      </c>
      <c r="E28" s="3" t="s">
        <v>36</v>
      </c>
      <c r="F28" s="3" t="s">
        <v>37</v>
      </c>
      <c r="G28" s="3" t="s">
        <v>99</v>
      </c>
      <c r="H28" s="3">
        <v>2011.0</v>
      </c>
      <c r="I28" s="3" t="str">
        <f>IF(DB!$H28&gt;1000,LEFT(DB!$H28,2)+1,LEFT(DB!$H28,1)+1)</f>
        <v>21</v>
      </c>
      <c r="J28" s="3" t="s">
        <v>100</v>
      </c>
      <c r="K28" s="3" t="s">
        <v>23</v>
      </c>
      <c r="L28" s="3" t="s">
        <v>24</v>
      </c>
      <c r="M28" s="3"/>
      <c r="N28" s="3">
        <v>872.0</v>
      </c>
      <c r="O28" s="5">
        <v>43831.0</v>
      </c>
      <c r="P28" s="3">
        <v>4.5</v>
      </c>
    </row>
    <row r="29" ht="14.25" customHeight="1">
      <c r="A29" s="3"/>
      <c r="B29" s="4" t="s">
        <v>101</v>
      </c>
      <c r="C29" s="4" t="s">
        <v>102</v>
      </c>
      <c r="D29" s="4" t="s">
        <v>60</v>
      </c>
      <c r="E29" s="3" t="s">
        <v>36</v>
      </c>
      <c r="F29" s="3" t="s">
        <v>37</v>
      </c>
      <c r="G29" s="3" t="s">
        <v>103</v>
      </c>
      <c r="H29" s="3">
        <v>2005.0</v>
      </c>
      <c r="I29" s="3" t="str">
        <f>IF(DB!$H29&gt;1000,LEFT(DB!$H29,2)+1,LEFT(DB!$H29,1)+1)</f>
        <v>21</v>
      </c>
      <c r="J29" s="3" t="s">
        <v>49</v>
      </c>
      <c r="K29" s="3" t="s">
        <v>33</v>
      </c>
      <c r="L29" s="3" t="s">
        <v>24</v>
      </c>
      <c r="M29" s="3"/>
      <c r="N29" s="3">
        <v>332.0</v>
      </c>
      <c r="O29" s="5">
        <v>43831.0</v>
      </c>
      <c r="P29" s="3">
        <v>3.5</v>
      </c>
    </row>
    <row r="30" ht="14.25" customHeight="1">
      <c r="A30" s="3"/>
      <c r="B30" s="4" t="s">
        <v>104</v>
      </c>
      <c r="C30" s="4" t="s">
        <v>28</v>
      </c>
      <c r="D30" s="4" t="s">
        <v>18</v>
      </c>
      <c r="E30" s="3" t="s">
        <v>36</v>
      </c>
      <c r="F30" s="3" t="s">
        <v>37</v>
      </c>
      <c r="G30" s="3" t="s">
        <v>99</v>
      </c>
      <c r="H30" s="3">
        <v>1998.0</v>
      </c>
      <c r="I30" s="3" t="str">
        <f>IF(DB!$H30&gt;1000,LEFT(DB!$H30,2)+1,LEFT(DB!$H30,1)+1)</f>
        <v>20</v>
      </c>
      <c r="J30" s="3" t="s">
        <v>100</v>
      </c>
      <c r="K30" s="3" t="s">
        <v>23</v>
      </c>
      <c r="L30" s="3" t="s">
        <v>24</v>
      </c>
      <c r="M30" s="3"/>
      <c r="N30" s="3">
        <v>656.0</v>
      </c>
      <c r="O30" s="5">
        <v>43831.0</v>
      </c>
      <c r="P30" s="3">
        <v>4.0</v>
      </c>
    </row>
    <row r="31" ht="14.25" customHeight="1">
      <c r="A31" s="3"/>
      <c r="B31" s="4" t="s">
        <v>105</v>
      </c>
      <c r="C31" s="4" t="s">
        <v>28</v>
      </c>
      <c r="D31" s="4" t="s">
        <v>18</v>
      </c>
      <c r="E31" s="3" t="s">
        <v>36</v>
      </c>
      <c r="F31" s="3" t="s">
        <v>37</v>
      </c>
      <c r="G31" s="3" t="s">
        <v>99</v>
      </c>
      <c r="H31" s="3">
        <v>1996.0</v>
      </c>
      <c r="I31" s="3" t="str">
        <f>IF(DB!$H31&gt;1000,LEFT(DB!$H31,2)+1,LEFT(DB!$H31,1)+1)</f>
        <v>20</v>
      </c>
      <c r="J31" s="3" t="s">
        <v>100</v>
      </c>
      <c r="K31" s="3" t="s">
        <v>23</v>
      </c>
      <c r="L31" s="3" t="s">
        <v>24</v>
      </c>
      <c r="M31" s="3"/>
      <c r="N31" s="3">
        <v>592.0</v>
      </c>
      <c r="O31" s="5">
        <v>43831.0</v>
      </c>
      <c r="P31" s="3">
        <v>5.0</v>
      </c>
    </row>
    <row r="32" ht="14.25" customHeight="1">
      <c r="A32" s="3"/>
      <c r="B32" s="4" t="s">
        <v>106</v>
      </c>
      <c r="C32" s="4" t="s">
        <v>28</v>
      </c>
      <c r="D32" s="4" t="s">
        <v>18</v>
      </c>
      <c r="E32" s="3" t="s">
        <v>36</v>
      </c>
      <c r="F32" s="3" t="s">
        <v>37</v>
      </c>
      <c r="G32" s="3" t="s">
        <v>99</v>
      </c>
      <c r="H32" s="3">
        <v>2000.0</v>
      </c>
      <c r="I32" s="3" t="str">
        <f>IF(DB!$H32&gt;1000,LEFT(DB!$H32,2)+1,LEFT(DB!$H32,1)+1)</f>
        <v>21</v>
      </c>
      <c r="J32" s="3" t="s">
        <v>100</v>
      </c>
      <c r="K32" s="3" t="s">
        <v>23</v>
      </c>
      <c r="L32" s="3" t="s">
        <v>24</v>
      </c>
      <c r="M32" s="3"/>
      <c r="N32" s="3">
        <v>884.0</v>
      </c>
      <c r="O32" s="5">
        <v>43831.0</v>
      </c>
      <c r="P32" s="3">
        <v>5.0</v>
      </c>
    </row>
    <row r="33" ht="14.25" customHeight="1">
      <c r="A33" s="3"/>
      <c r="B33" s="4" t="s">
        <v>107</v>
      </c>
      <c r="C33" s="4" t="s">
        <v>28</v>
      </c>
      <c r="D33" s="4" t="s">
        <v>18</v>
      </c>
      <c r="E33" s="3" t="s">
        <v>36</v>
      </c>
      <c r="F33" s="3" t="s">
        <v>37</v>
      </c>
      <c r="G33" s="3" t="s">
        <v>99</v>
      </c>
      <c r="H33" s="3">
        <v>2005.0</v>
      </c>
      <c r="I33" s="3" t="str">
        <f>IF(DB!$H33&gt;1000,LEFT(DB!$H33,2)+1,LEFT(DB!$H33,1)+1)</f>
        <v>21</v>
      </c>
      <c r="J33" s="3" t="s">
        <v>100</v>
      </c>
      <c r="K33" s="3" t="s">
        <v>23</v>
      </c>
      <c r="L33" s="3" t="s">
        <v>24</v>
      </c>
      <c r="M33" s="3"/>
      <c r="N33" s="3">
        <v>644.0</v>
      </c>
      <c r="O33" s="5">
        <v>43831.0</v>
      </c>
      <c r="P33" s="3">
        <v>4.5</v>
      </c>
    </row>
    <row r="34" ht="14.25" customHeight="1">
      <c r="A34" s="3"/>
      <c r="B34" s="4" t="s">
        <v>108</v>
      </c>
      <c r="C34" s="4" t="s">
        <v>28</v>
      </c>
      <c r="D34" s="4" t="s">
        <v>18</v>
      </c>
      <c r="E34" s="3" t="s">
        <v>36</v>
      </c>
      <c r="F34" s="3" t="s">
        <v>37</v>
      </c>
      <c r="G34" s="3" t="s">
        <v>99</v>
      </c>
      <c r="H34" s="3">
        <v>2013.0</v>
      </c>
      <c r="I34" s="3" t="str">
        <f>IF(DB!$H34&gt;1000,LEFT(DB!$H34,2)+1,LEFT(DB!$H34,1)+1)</f>
        <v>21</v>
      </c>
      <c r="J34" s="3" t="s">
        <v>100</v>
      </c>
      <c r="K34" s="3" t="s">
        <v>23</v>
      </c>
      <c r="L34" s="3" t="s">
        <v>24</v>
      </c>
      <c r="M34" s="3"/>
      <c r="N34" s="3">
        <v>416.0</v>
      </c>
      <c r="O34" s="5">
        <v>43831.0</v>
      </c>
      <c r="P34" s="3">
        <v>4.0</v>
      </c>
    </row>
    <row r="35" ht="14.25" customHeight="1">
      <c r="A35" s="3"/>
      <c r="B35" s="4" t="s">
        <v>109</v>
      </c>
      <c r="C35" s="4" t="s">
        <v>110</v>
      </c>
      <c r="D35" s="4" t="s">
        <v>18</v>
      </c>
      <c r="E35" s="3" t="s">
        <v>36</v>
      </c>
      <c r="F35" s="3" t="s">
        <v>37</v>
      </c>
      <c r="G35" s="3" t="s">
        <v>99</v>
      </c>
      <c r="H35" s="3">
        <v>2015.0</v>
      </c>
      <c r="I35" s="3" t="str">
        <f>IF(DB!$H35&gt;1000,LEFT(DB!$H35,2)+1,LEFT(DB!$H35,1)+1)</f>
        <v>21</v>
      </c>
      <c r="J35" s="3" t="s">
        <v>111</v>
      </c>
      <c r="K35" s="3" t="s">
        <v>23</v>
      </c>
      <c r="L35" s="3" t="s">
        <v>24</v>
      </c>
      <c r="M35" s="3"/>
      <c r="N35" s="3">
        <v>480.0</v>
      </c>
      <c r="O35" s="5">
        <v>43831.0</v>
      </c>
      <c r="P35" s="3">
        <v>3.0</v>
      </c>
    </row>
    <row r="36" ht="14.25" customHeight="1">
      <c r="A36" s="3"/>
      <c r="B36" s="4" t="s">
        <v>112</v>
      </c>
      <c r="C36" s="4" t="s">
        <v>17</v>
      </c>
      <c r="D36" s="4" t="s">
        <v>60</v>
      </c>
      <c r="E36" s="3" t="s">
        <v>41</v>
      </c>
      <c r="F36" s="3" t="s">
        <v>42</v>
      </c>
      <c r="G36" s="3" t="s">
        <v>113</v>
      </c>
      <c r="H36" s="3">
        <v>1997.0</v>
      </c>
      <c r="I36" s="3" t="str">
        <f>IF(DB!$H36&gt;1000,LEFT(DB!$H36,2)+1,LEFT(DB!$H36,1)+1)</f>
        <v>20</v>
      </c>
      <c r="J36" s="3" t="s">
        <v>114</v>
      </c>
      <c r="K36" s="3" t="s">
        <v>23</v>
      </c>
      <c r="L36" s="3" t="s">
        <v>24</v>
      </c>
      <c r="M36" s="3"/>
      <c r="N36" s="3">
        <v>128.0</v>
      </c>
      <c r="O36" s="5">
        <v>43831.0</v>
      </c>
      <c r="P36" s="3">
        <v>4.0</v>
      </c>
    </row>
    <row r="37" ht="14.25" customHeight="1">
      <c r="A37" s="3"/>
      <c r="B37" s="4" t="s">
        <v>115</v>
      </c>
      <c r="C37" s="4" t="s">
        <v>17</v>
      </c>
      <c r="D37" s="4" t="s">
        <v>18</v>
      </c>
      <c r="E37" s="3" t="s">
        <v>41</v>
      </c>
      <c r="F37" s="3" t="s">
        <v>42</v>
      </c>
      <c r="G37" s="3" t="s">
        <v>43</v>
      </c>
      <c r="H37" s="3">
        <v>1984.0</v>
      </c>
      <c r="I37" s="3" t="str">
        <f>IF(DB!$H37&gt;1000,LEFT(DB!$H37,2)+1,LEFT(DB!$H37,1)+1)</f>
        <v>20</v>
      </c>
      <c r="J37" s="3" t="s">
        <v>44</v>
      </c>
      <c r="K37" s="3" t="s">
        <v>23</v>
      </c>
      <c r="L37" s="3" t="s">
        <v>24</v>
      </c>
      <c r="M37" s="3"/>
      <c r="N37" s="3">
        <v>142.0</v>
      </c>
      <c r="O37" s="5">
        <v>43831.0</v>
      </c>
      <c r="P37" s="3">
        <v>3.5</v>
      </c>
    </row>
    <row r="38" ht="14.25" customHeight="1">
      <c r="A38" s="3"/>
      <c r="B38" s="4" t="s">
        <v>116</v>
      </c>
      <c r="C38" s="4" t="s">
        <v>28</v>
      </c>
      <c r="D38" s="4" t="s">
        <v>18</v>
      </c>
      <c r="E38" s="3" t="s">
        <v>36</v>
      </c>
      <c r="F38" s="3" t="s">
        <v>37</v>
      </c>
      <c r="G38" s="3" t="s">
        <v>117</v>
      </c>
      <c r="H38" s="3">
        <v>1960.0</v>
      </c>
      <c r="I38" s="3" t="str">
        <f>IF(DB!$H38&gt;1000,LEFT(DB!$H38,2)+1,LEFT(DB!$H38,1)+1)</f>
        <v>20</v>
      </c>
      <c r="J38" s="3" t="s">
        <v>118</v>
      </c>
      <c r="K38" s="3" t="s">
        <v>33</v>
      </c>
      <c r="L38" s="3" t="s">
        <v>24</v>
      </c>
      <c r="M38" s="3"/>
      <c r="N38" s="3">
        <v>350.0</v>
      </c>
      <c r="O38" s="5">
        <v>43831.0</v>
      </c>
      <c r="P38" s="3">
        <v>3.0</v>
      </c>
    </row>
    <row r="39" ht="14.25" customHeight="1">
      <c r="A39" s="3"/>
      <c r="B39" s="4" t="s">
        <v>119</v>
      </c>
      <c r="C39" s="4" t="s">
        <v>54</v>
      </c>
      <c r="D39" s="4" t="s">
        <v>18</v>
      </c>
      <c r="E39" s="3" t="s">
        <v>120</v>
      </c>
      <c r="F39" s="3" t="s">
        <v>42</v>
      </c>
      <c r="G39" s="3" t="s">
        <v>121</v>
      </c>
      <c r="H39" s="3">
        <v>-700.0</v>
      </c>
      <c r="I39" s="3">
        <v>-8.0</v>
      </c>
      <c r="J39" s="3" t="s">
        <v>57</v>
      </c>
      <c r="K39" s="3" t="s">
        <v>23</v>
      </c>
      <c r="L39" s="3" t="s">
        <v>24</v>
      </c>
      <c r="M39" s="3"/>
      <c r="N39" s="3">
        <v>424.0</v>
      </c>
      <c r="O39" s="5">
        <v>43831.0</v>
      </c>
      <c r="P39" s="3">
        <v>4.5</v>
      </c>
    </row>
    <row r="40" ht="14.25" customHeight="1">
      <c r="A40" s="3"/>
      <c r="B40" s="4" t="s">
        <v>122</v>
      </c>
      <c r="C40" s="4" t="s">
        <v>28</v>
      </c>
      <c r="D40" s="4" t="s">
        <v>18</v>
      </c>
      <c r="E40" s="3" t="s">
        <v>36</v>
      </c>
      <c r="F40" s="3" t="s">
        <v>37</v>
      </c>
      <c r="G40" s="3" t="s">
        <v>123</v>
      </c>
      <c r="H40" s="3">
        <v>1963.0</v>
      </c>
      <c r="I40" s="3" t="str">
        <f>IF(DB!$H40&gt;1000,LEFT(DB!$H40,2)+1,LEFT(DB!$H40,1)+1)</f>
        <v>20</v>
      </c>
      <c r="J40" s="3" t="s">
        <v>84</v>
      </c>
      <c r="K40" s="3" t="s">
        <v>23</v>
      </c>
      <c r="L40" s="3" t="s">
        <v>24</v>
      </c>
      <c r="M40" s="3"/>
      <c r="N40" s="3">
        <v>280.0</v>
      </c>
      <c r="O40" s="5">
        <v>43831.0</v>
      </c>
      <c r="P40" s="3">
        <v>3.5</v>
      </c>
    </row>
    <row r="41" ht="14.25" customHeight="1">
      <c r="A41" s="3"/>
      <c r="B41" s="4" t="s">
        <v>124</v>
      </c>
      <c r="C41" s="4" t="s">
        <v>28</v>
      </c>
      <c r="D41" s="4" t="s">
        <v>18</v>
      </c>
      <c r="E41" s="3" t="s">
        <v>36</v>
      </c>
      <c r="F41" s="3" t="s">
        <v>37</v>
      </c>
      <c r="G41" s="3" t="s">
        <v>125</v>
      </c>
      <c r="H41" s="3">
        <v>1951.0</v>
      </c>
      <c r="I41" s="3" t="str">
        <f>IF(DB!$H41&gt;1000,LEFT(DB!$H41,2)+1,LEFT(DB!$H41,1)+1)</f>
        <v>20</v>
      </c>
      <c r="J41" s="3" t="s">
        <v>84</v>
      </c>
      <c r="K41" s="3" t="s">
        <v>23</v>
      </c>
      <c r="L41" s="3" t="s">
        <v>24</v>
      </c>
      <c r="M41" s="3"/>
      <c r="N41" s="3">
        <v>880.0</v>
      </c>
      <c r="O41" s="5">
        <v>43831.0</v>
      </c>
      <c r="P41" s="3">
        <v>4.5</v>
      </c>
    </row>
    <row r="42" ht="14.25" customHeight="1">
      <c r="A42" s="3"/>
      <c r="B42" s="4" t="s">
        <v>126</v>
      </c>
      <c r="C42" s="4" t="s">
        <v>28</v>
      </c>
      <c r="D42" s="4" t="s">
        <v>18</v>
      </c>
      <c r="E42" s="3" t="s">
        <v>41</v>
      </c>
      <c r="F42" s="3" t="s">
        <v>42</v>
      </c>
      <c r="G42" s="3" t="s">
        <v>127</v>
      </c>
      <c r="H42" s="3">
        <v>1998.0</v>
      </c>
      <c r="I42" s="3" t="str">
        <f>IF(DB!$H42&gt;1000,LEFT(DB!$H42,2)+1,LEFT(DB!$H42,1)+1)</f>
        <v>20</v>
      </c>
      <c r="J42" s="3" t="s">
        <v>72</v>
      </c>
      <c r="K42" s="3" t="s">
        <v>33</v>
      </c>
      <c r="L42" s="3" t="s">
        <v>24</v>
      </c>
      <c r="M42" s="3"/>
      <c r="N42" s="3">
        <v>252.0</v>
      </c>
      <c r="O42" s="5">
        <v>43831.0</v>
      </c>
      <c r="P42" s="3">
        <v>4.0</v>
      </c>
    </row>
    <row r="43" ht="14.25" customHeight="1">
      <c r="A43" s="3"/>
      <c r="B43" s="4" t="s">
        <v>128</v>
      </c>
      <c r="C43" s="4" t="s">
        <v>28</v>
      </c>
      <c r="D43" s="4" t="s">
        <v>18</v>
      </c>
      <c r="E43" s="3" t="s">
        <v>41</v>
      </c>
      <c r="F43" s="3" t="s">
        <v>42</v>
      </c>
      <c r="G43" s="3" t="s">
        <v>127</v>
      </c>
      <c r="H43" s="3">
        <v>2003.0</v>
      </c>
      <c r="I43" s="3" t="str">
        <f>IF(DB!$H43&gt;1000,LEFT(DB!$H43,2)+1,LEFT(DB!$H43,1)+1)</f>
        <v>21</v>
      </c>
      <c r="J43" s="3" t="s">
        <v>72</v>
      </c>
      <c r="K43" s="3" t="s">
        <v>33</v>
      </c>
      <c r="L43" s="3" t="s">
        <v>24</v>
      </c>
      <c r="M43" s="3"/>
      <c r="N43" s="3">
        <v>704.0</v>
      </c>
      <c r="O43" s="5">
        <v>43831.0</v>
      </c>
      <c r="P43" s="3">
        <v>3.5</v>
      </c>
    </row>
    <row r="44" ht="14.25" customHeight="1">
      <c r="A44" s="3"/>
      <c r="B44" s="4" t="s">
        <v>129</v>
      </c>
      <c r="C44" s="4" t="s">
        <v>28</v>
      </c>
      <c r="D44" s="4" t="s">
        <v>18</v>
      </c>
      <c r="E44" s="3" t="s">
        <v>41</v>
      </c>
      <c r="F44" s="3" t="s">
        <v>42</v>
      </c>
      <c r="G44" s="3" t="s">
        <v>127</v>
      </c>
      <c r="H44" s="3">
        <v>1997.0</v>
      </c>
      <c r="I44" s="3" t="str">
        <f>IF(DB!$H44&gt;1000,LEFT(DB!$H44,2)+1,LEFT(DB!$H44,1)+1)</f>
        <v>20</v>
      </c>
      <c r="J44" s="3" t="s">
        <v>72</v>
      </c>
      <c r="K44" s="3" t="s">
        <v>33</v>
      </c>
      <c r="L44" s="3" t="s">
        <v>24</v>
      </c>
      <c r="M44" s="3"/>
      <c r="N44" s="3">
        <v>224.0</v>
      </c>
      <c r="O44" s="5">
        <v>43831.0</v>
      </c>
      <c r="P44" s="3">
        <v>4.5</v>
      </c>
    </row>
    <row r="45" ht="14.25" customHeight="1">
      <c r="A45" s="3"/>
      <c r="B45" s="4" t="s">
        <v>130</v>
      </c>
      <c r="C45" s="4" t="s">
        <v>28</v>
      </c>
      <c r="D45" s="4" t="s">
        <v>18</v>
      </c>
      <c r="E45" s="3" t="s">
        <v>41</v>
      </c>
      <c r="F45" s="3" t="s">
        <v>42</v>
      </c>
      <c r="G45" s="3" t="s">
        <v>127</v>
      </c>
      <c r="H45" s="3">
        <v>2007.0</v>
      </c>
      <c r="I45" s="3" t="str">
        <f>IF(DB!$H45&gt;1000,LEFT(DB!$H45,2)+1,LEFT(DB!$H45,1)+1)</f>
        <v>21</v>
      </c>
      <c r="J45" s="3" t="s">
        <v>72</v>
      </c>
      <c r="K45" s="3" t="s">
        <v>33</v>
      </c>
      <c r="L45" s="3" t="s">
        <v>24</v>
      </c>
      <c r="M45" s="3"/>
      <c r="N45" s="3">
        <v>592.0</v>
      </c>
      <c r="O45" s="5">
        <v>43831.0</v>
      </c>
      <c r="P45" s="3">
        <v>5.0</v>
      </c>
    </row>
    <row r="46" ht="14.25" customHeight="1">
      <c r="A46" s="3"/>
      <c r="B46" s="4" t="s">
        <v>131</v>
      </c>
      <c r="C46" s="4" t="s">
        <v>28</v>
      </c>
      <c r="D46" s="4" t="s">
        <v>18</v>
      </c>
      <c r="E46" s="3" t="s">
        <v>41</v>
      </c>
      <c r="F46" s="3" t="s">
        <v>42</v>
      </c>
      <c r="G46" s="3" t="s">
        <v>127</v>
      </c>
      <c r="H46" s="3">
        <v>2000.0</v>
      </c>
      <c r="I46" s="3" t="str">
        <f>IF(DB!$H46&gt;1000,LEFT(DB!$H46,2)+1,LEFT(DB!$H46,1)+1)</f>
        <v>21</v>
      </c>
      <c r="J46" s="3" t="s">
        <v>72</v>
      </c>
      <c r="K46" s="3" t="s">
        <v>33</v>
      </c>
      <c r="L46" s="3" t="s">
        <v>24</v>
      </c>
      <c r="M46" s="3"/>
      <c r="N46" s="3">
        <v>584.0</v>
      </c>
      <c r="O46" s="5">
        <v>43831.0</v>
      </c>
      <c r="P46" s="3">
        <v>4.0</v>
      </c>
    </row>
    <row r="47" ht="14.25" customHeight="1">
      <c r="A47" s="3"/>
      <c r="B47" s="4" t="s">
        <v>132</v>
      </c>
      <c r="C47" s="4" t="s">
        <v>28</v>
      </c>
      <c r="D47" s="4" t="s">
        <v>18</v>
      </c>
      <c r="E47" s="3" t="s">
        <v>41</v>
      </c>
      <c r="F47" s="3" t="s">
        <v>42</v>
      </c>
      <c r="G47" s="3" t="s">
        <v>127</v>
      </c>
      <c r="H47" s="3">
        <v>2005.0</v>
      </c>
      <c r="I47" s="3" t="str">
        <f>IF(DB!$H47&gt;1000,LEFT(DB!$H47,2)+1,LEFT(DB!$H47,1)+1)</f>
        <v>21</v>
      </c>
      <c r="J47" s="3" t="s">
        <v>72</v>
      </c>
      <c r="K47" s="3" t="s">
        <v>33</v>
      </c>
      <c r="L47" s="3" t="s">
        <v>24</v>
      </c>
      <c r="M47" s="3"/>
      <c r="N47" s="3">
        <v>472.0</v>
      </c>
      <c r="O47" s="5">
        <v>43831.0</v>
      </c>
      <c r="P47" s="3">
        <v>5.0</v>
      </c>
    </row>
    <row r="48" ht="14.25" customHeight="1">
      <c r="A48" s="3"/>
      <c r="B48" s="4" t="s">
        <v>133</v>
      </c>
      <c r="C48" s="4" t="s">
        <v>28</v>
      </c>
      <c r="D48" s="4" t="s">
        <v>18</v>
      </c>
      <c r="E48" s="3" t="s">
        <v>41</v>
      </c>
      <c r="F48" s="3" t="s">
        <v>42</v>
      </c>
      <c r="G48" s="3" t="s">
        <v>127</v>
      </c>
      <c r="H48" s="3">
        <v>1999.0</v>
      </c>
      <c r="I48" s="3" t="str">
        <f>IF(DB!$H48&gt;1000,LEFT(DB!$H48,2)+1,LEFT(DB!$H48,1)+1)</f>
        <v>20</v>
      </c>
      <c r="J48" s="3" t="s">
        <v>72</v>
      </c>
      <c r="K48" s="3" t="s">
        <v>33</v>
      </c>
      <c r="L48" s="3" t="s">
        <v>24</v>
      </c>
      <c r="M48" s="3"/>
      <c r="N48" s="3">
        <v>394.0</v>
      </c>
      <c r="O48" s="5">
        <v>43831.0</v>
      </c>
      <c r="P48" s="3">
        <v>3.5</v>
      </c>
    </row>
    <row r="49" ht="14.25" customHeight="1">
      <c r="A49" s="3"/>
      <c r="B49" s="4" t="s">
        <v>134</v>
      </c>
      <c r="C49" s="4" t="s">
        <v>89</v>
      </c>
      <c r="D49" s="4" t="s">
        <v>18</v>
      </c>
      <c r="E49" s="3" t="s">
        <v>47</v>
      </c>
      <c r="F49" s="3" t="s">
        <v>42</v>
      </c>
      <c r="G49" s="3" t="s">
        <v>135</v>
      </c>
      <c r="H49" s="3">
        <v>1938.0</v>
      </c>
      <c r="I49" s="3" t="str">
        <f>IF(DB!$H49&gt;1000,LEFT(DB!$H49,2)+1,LEFT(DB!$H49,1)+1)</f>
        <v>20</v>
      </c>
      <c r="J49" s="3" t="s">
        <v>57</v>
      </c>
      <c r="K49" s="3" t="s">
        <v>23</v>
      </c>
      <c r="L49" s="3" t="s">
        <v>24</v>
      </c>
      <c r="M49" s="3"/>
      <c r="N49" s="3">
        <v>204.0</v>
      </c>
      <c r="O49" s="5">
        <v>43831.0</v>
      </c>
      <c r="P49" s="3">
        <v>5.0</v>
      </c>
    </row>
    <row r="50" ht="14.25" customHeight="1">
      <c r="A50" s="3"/>
      <c r="B50" s="4" t="s">
        <v>136</v>
      </c>
      <c r="C50" s="4" t="s">
        <v>110</v>
      </c>
      <c r="D50" s="4" t="s">
        <v>18</v>
      </c>
      <c r="E50" s="3" t="s">
        <v>137</v>
      </c>
      <c r="F50" s="3" t="s">
        <v>20</v>
      </c>
      <c r="G50" s="3" t="s">
        <v>138</v>
      </c>
      <c r="H50" s="3">
        <v>1945.0</v>
      </c>
      <c r="I50" s="3" t="str">
        <f>IF(DB!$H50&gt;1000,LEFT(DB!$H50,2)+1,LEFT(DB!$H50,1)+1)</f>
        <v>20</v>
      </c>
      <c r="J50" s="3" t="s">
        <v>67</v>
      </c>
      <c r="K50" s="3" t="s">
        <v>23</v>
      </c>
      <c r="L50" s="3" t="s">
        <v>24</v>
      </c>
      <c r="M50" s="3"/>
      <c r="N50" s="3">
        <v>160.0</v>
      </c>
      <c r="O50" s="5">
        <v>43831.0</v>
      </c>
      <c r="P50" s="3">
        <v>4.0</v>
      </c>
    </row>
    <row r="51" ht="14.25" customHeight="1">
      <c r="A51" s="3"/>
      <c r="B51" s="4" t="s">
        <v>139</v>
      </c>
      <c r="C51" s="4" t="s">
        <v>28</v>
      </c>
      <c r="D51" s="4" t="s">
        <v>18</v>
      </c>
      <c r="E51" s="3" t="s">
        <v>140</v>
      </c>
      <c r="F51" s="3" t="s">
        <v>42</v>
      </c>
      <c r="G51" s="3" t="s">
        <v>141</v>
      </c>
      <c r="H51" s="3">
        <v>1991.0</v>
      </c>
      <c r="I51" s="3" t="str">
        <f>IF(DB!$H51&gt;1000,LEFT(DB!$H51,2)+1,LEFT(DB!$H51,1)+1)</f>
        <v>20</v>
      </c>
      <c r="J51" s="3" t="s">
        <v>67</v>
      </c>
      <c r="K51" s="3" t="s">
        <v>23</v>
      </c>
      <c r="L51" s="3" t="s">
        <v>24</v>
      </c>
      <c r="M51" s="3"/>
      <c r="N51" s="3">
        <v>448.0</v>
      </c>
      <c r="O51" s="5">
        <v>43831.0</v>
      </c>
      <c r="P51" s="3">
        <v>4.5</v>
      </c>
    </row>
    <row r="52" ht="14.25" customHeight="1">
      <c r="A52" s="3"/>
      <c r="B52" s="4" t="s">
        <v>142</v>
      </c>
      <c r="C52" s="4" t="s">
        <v>28</v>
      </c>
      <c r="D52" s="4" t="s">
        <v>18</v>
      </c>
      <c r="E52" s="3" t="s">
        <v>36</v>
      </c>
      <c r="F52" s="3" t="s">
        <v>37</v>
      </c>
      <c r="G52" s="3" t="s">
        <v>143</v>
      </c>
      <c r="H52" s="3">
        <v>2009.0</v>
      </c>
      <c r="I52" s="3" t="str">
        <f>IF(DB!$H52&gt;1000,LEFT(DB!$H52,2)+1,LEFT(DB!$H52,1)+1)</f>
        <v>21</v>
      </c>
      <c r="J52" s="3" t="s">
        <v>72</v>
      </c>
      <c r="K52" s="3" t="s">
        <v>33</v>
      </c>
      <c r="L52" s="3" t="s">
        <v>24</v>
      </c>
      <c r="M52" s="3"/>
      <c r="N52" s="3">
        <v>416.0</v>
      </c>
      <c r="O52" s="5">
        <v>43831.0</v>
      </c>
      <c r="P52" s="3">
        <v>4.0</v>
      </c>
    </row>
    <row r="53" ht="14.25" customHeight="1">
      <c r="A53" s="3"/>
      <c r="B53" s="4" t="s">
        <v>144</v>
      </c>
      <c r="C53" s="4" t="s">
        <v>17</v>
      </c>
      <c r="D53" s="4" t="s">
        <v>18</v>
      </c>
      <c r="E53" s="3" t="s">
        <v>140</v>
      </c>
      <c r="F53" s="3" t="s">
        <v>42</v>
      </c>
      <c r="G53" s="3" t="s">
        <v>141</v>
      </c>
      <c r="H53" s="3">
        <v>1995.0</v>
      </c>
      <c r="I53" s="3" t="str">
        <f>IF(DB!$H53&gt;1000,LEFT(DB!$H53,2)+1,LEFT(DB!$H53,1)+1)</f>
        <v>20</v>
      </c>
      <c r="J53" s="3" t="s">
        <v>67</v>
      </c>
      <c r="K53" s="3" t="s">
        <v>23</v>
      </c>
      <c r="L53" s="3" t="s">
        <v>24</v>
      </c>
      <c r="M53" s="3"/>
      <c r="N53" s="3">
        <v>312.0</v>
      </c>
      <c r="O53" s="5">
        <v>43831.0</v>
      </c>
      <c r="P53" s="3">
        <v>5.0</v>
      </c>
    </row>
    <row r="54" ht="14.25" customHeight="1">
      <c r="A54" s="3"/>
      <c r="B54" s="4" t="s">
        <v>145</v>
      </c>
      <c r="C54" s="4" t="s">
        <v>28</v>
      </c>
      <c r="D54" s="4" t="s">
        <v>18</v>
      </c>
      <c r="E54" s="3" t="s">
        <v>146</v>
      </c>
      <c r="F54" s="3" t="s">
        <v>42</v>
      </c>
      <c r="G54" s="3" t="s">
        <v>147</v>
      </c>
      <c r="H54" s="3">
        <v>1915.0</v>
      </c>
      <c r="I54" s="3" t="str">
        <f>IF(DB!$H54&gt;1000,LEFT(DB!$H54,2)+1,LEFT(DB!$H54,1)+1)</f>
        <v>20</v>
      </c>
      <c r="J54" s="3" t="s">
        <v>148</v>
      </c>
      <c r="K54" s="3" t="s">
        <v>23</v>
      </c>
      <c r="L54" s="3" t="s">
        <v>24</v>
      </c>
      <c r="M54" s="3"/>
      <c r="N54" s="3">
        <v>94.0</v>
      </c>
      <c r="O54" s="5">
        <v>43831.0</v>
      </c>
      <c r="P54" s="3">
        <v>4.0</v>
      </c>
    </row>
    <row r="55" ht="14.25" customHeight="1">
      <c r="A55" s="3"/>
      <c r="B55" s="4" t="s">
        <v>149</v>
      </c>
      <c r="C55" s="4" t="s">
        <v>28</v>
      </c>
      <c r="D55" s="4" t="s">
        <v>18</v>
      </c>
      <c r="E55" s="3" t="s">
        <v>146</v>
      </c>
      <c r="F55" s="3" t="s">
        <v>42</v>
      </c>
      <c r="G55" s="3" t="s">
        <v>147</v>
      </c>
      <c r="H55" s="3">
        <v>1925.0</v>
      </c>
      <c r="I55" s="3" t="str">
        <f>IF(DB!$H55&gt;1000,LEFT(DB!$H55,2)+1,LEFT(DB!$H55,1)+1)</f>
        <v>20</v>
      </c>
      <c r="J55" s="3" t="s">
        <v>148</v>
      </c>
      <c r="K55" s="3" t="s">
        <v>23</v>
      </c>
      <c r="L55" s="3" t="s">
        <v>24</v>
      </c>
      <c r="M55" s="3"/>
      <c r="N55" s="3">
        <v>271.0</v>
      </c>
      <c r="O55" s="5">
        <v>43831.0</v>
      </c>
      <c r="P55" s="3">
        <v>5.0</v>
      </c>
    </row>
    <row r="56" ht="14.25" customHeight="1">
      <c r="A56" s="3"/>
      <c r="B56" s="4" t="s">
        <v>150</v>
      </c>
      <c r="C56" s="4" t="s">
        <v>17</v>
      </c>
      <c r="D56" s="4" t="s">
        <v>60</v>
      </c>
      <c r="E56" s="3" t="s">
        <v>41</v>
      </c>
      <c r="F56" s="3" t="s">
        <v>42</v>
      </c>
      <c r="G56" s="3" t="s">
        <v>113</v>
      </c>
      <c r="H56" s="3">
        <v>2008.0</v>
      </c>
      <c r="I56" s="3" t="str">
        <f>IF(DB!$H56&gt;1000,LEFT(DB!$H56,2)+1,LEFT(DB!$H56,1)+1)</f>
        <v>21</v>
      </c>
      <c r="J56" s="3" t="s">
        <v>114</v>
      </c>
      <c r="K56" s="3" t="s">
        <v>23</v>
      </c>
      <c r="L56" s="3" t="s">
        <v>24</v>
      </c>
      <c r="M56" s="3"/>
      <c r="N56" s="3">
        <v>128.0</v>
      </c>
      <c r="O56" s="5">
        <v>43831.0</v>
      </c>
      <c r="P56" s="3">
        <v>4.0</v>
      </c>
    </row>
    <row r="57" ht="14.25" customHeight="1">
      <c r="A57" s="3"/>
      <c r="B57" s="4" t="s">
        <v>151</v>
      </c>
      <c r="C57" s="4" t="s">
        <v>28</v>
      </c>
      <c r="D57" s="4" t="s">
        <v>18</v>
      </c>
      <c r="E57" s="3" t="s">
        <v>36</v>
      </c>
      <c r="F57" s="3" t="s">
        <v>37</v>
      </c>
      <c r="G57" s="3" t="s">
        <v>143</v>
      </c>
      <c r="H57" s="3">
        <v>2010.0</v>
      </c>
      <c r="I57" s="3" t="str">
        <f>IF(DB!$H57&gt;1000,LEFT(DB!$H57,2)+1,LEFT(DB!$H57,1)+1)</f>
        <v>21</v>
      </c>
      <c r="J57" s="3" t="s">
        <v>72</v>
      </c>
      <c r="K57" s="3" t="s">
        <v>33</v>
      </c>
      <c r="L57" s="3" t="s">
        <v>24</v>
      </c>
      <c r="M57" s="3"/>
      <c r="N57" s="3">
        <v>424.0</v>
      </c>
      <c r="O57" s="5">
        <v>43831.0</v>
      </c>
      <c r="P57" s="3">
        <v>3.0</v>
      </c>
    </row>
    <row r="58" ht="14.25" customHeight="1">
      <c r="A58" s="3"/>
      <c r="B58" s="4" t="s">
        <v>152</v>
      </c>
      <c r="C58" s="4" t="s">
        <v>17</v>
      </c>
      <c r="D58" s="4" t="s">
        <v>60</v>
      </c>
      <c r="E58" s="3" t="s">
        <v>41</v>
      </c>
      <c r="F58" s="3" t="s">
        <v>42</v>
      </c>
      <c r="G58" s="3" t="s">
        <v>113</v>
      </c>
      <c r="H58" s="3">
        <v>1996.0</v>
      </c>
      <c r="I58" s="3" t="str">
        <f>IF(DB!$H58&gt;1000,LEFT(DB!$H58,2)+1,LEFT(DB!$H58,1)+1)</f>
        <v>20</v>
      </c>
      <c r="J58" s="3" t="s">
        <v>114</v>
      </c>
      <c r="K58" s="3" t="s">
        <v>23</v>
      </c>
      <c r="L58" s="3" t="s">
        <v>24</v>
      </c>
      <c r="M58" s="3"/>
      <c r="N58" s="3">
        <v>128.0</v>
      </c>
      <c r="O58" s="5">
        <v>43831.0</v>
      </c>
      <c r="P58" s="3">
        <v>4.0</v>
      </c>
    </row>
    <row r="59" ht="14.25" customHeight="1">
      <c r="A59" s="3"/>
      <c r="B59" s="4" t="s">
        <v>153</v>
      </c>
      <c r="C59" s="4" t="s">
        <v>54</v>
      </c>
      <c r="D59" s="4" t="s">
        <v>18</v>
      </c>
      <c r="E59" s="3" t="s">
        <v>120</v>
      </c>
      <c r="F59" s="3" t="s">
        <v>42</v>
      </c>
      <c r="G59" s="3" t="s">
        <v>121</v>
      </c>
      <c r="H59" s="3">
        <v>-700.0</v>
      </c>
      <c r="I59" s="3">
        <v>-8.0</v>
      </c>
      <c r="J59" s="3" t="s">
        <v>57</v>
      </c>
      <c r="K59" s="3" t="s">
        <v>23</v>
      </c>
      <c r="L59" s="3" t="s">
        <v>24</v>
      </c>
      <c r="M59" s="3"/>
      <c r="N59" s="3">
        <v>536.0</v>
      </c>
      <c r="O59" s="5">
        <v>43831.0</v>
      </c>
      <c r="P59" s="3">
        <v>4.5</v>
      </c>
    </row>
    <row r="60" ht="14.25" customHeight="1">
      <c r="A60" s="3"/>
      <c r="B60" s="4" t="s">
        <v>154</v>
      </c>
      <c r="C60" s="4" t="s">
        <v>17</v>
      </c>
      <c r="D60" s="4" t="s">
        <v>60</v>
      </c>
      <c r="E60" s="3" t="s">
        <v>41</v>
      </c>
      <c r="F60" s="3" t="s">
        <v>42</v>
      </c>
      <c r="G60" s="3" t="s">
        <v>113</v>
      </c>
      <c r="H60" s="3">
        <v>2000.0</v>
      </c>
      <c r="I60" s="3" t="str">
        <f>IF(DB!$H60&gt;1000,LEFT(DB!$H60,2)+1,LEFT(DB!$H60,1)+1)</f>
        <v>21</v>
      </c>
      <c r="J60" s="3" t="s">
        <v>114</v>
      </c>
      <c r="K60" s="3" t="s">
        <v>23</v>
      </c>
      <c r="L60" s="3" t="s">
        <v>24</v>
      </c>
      <c r="M60" s="3"/>
      <c r="N60" s="3">
        <v>127.0</v>
      </c>
      <c r="O60" s="5">
        <v>43831.0</v>
      </c>
      <c r="P60" s="3">
        <v>4.0</v>
      </c>
    </row>
    <row r="61" ht="14.25" customHeight="1">
      <c r="A61" s="3"/>
      <c r="B61" s="4" t="s">
        <v>53</v>
      </c>
      <c r="C61" s="4" t="s">
        <v>28</v>
      </c>
      <c r="D61" s="4" t="s">
        <v>18</v>
      </c>
      <c r="E61" s="3" t="s">
        <v>36</v>
      </c>
      <c r="F61" s="3" t="s">
        <v>37</v>
      </c>
      <c r="G61" s="3" t="s">
        <v>38</v>
      </c>
      <c r="H61" s="3">
        <v>2013.0</v>
      </c>
      <c r="I61" s="3" t="str">
        <f>IF(DB!$H61&gt;1000,LEFT(DB!$H61,2)+1,LEFT(DB!$H61,1)+1)</f>
        <v>21</v>
      </c>
      <c r="J61" s="3" t="s">
        <v>39</v>
      </c>
      <c r="K61" s="3" t="s">
        <v>23</v>
      </c>
      <c r="L61" s="3" t="s">
        <v>24</v>
      </c>
      <c r="M61" s="3"/>
      <c r="N61" s="3">
        <v>448.0</v>
      </c>
      <c r="O61" s="5">
        <v>43831.0</v>
      </c>
      <c r="P61" s="3">
        <v>4.5</v>
      </c>
    </row>
    <row r="62" ht="14.25" customHeight="1">
      <c r="A62" s="3"/>
      <c r="B62" s="4" t="s">
        <v>155</v>
      </c>
      <c r="C62" s="4" t="s">
        <v>17</v>
      </c>
      <c r="D62" s="4" t="s">
        <v>18</v>
      </c>
      <c r="E62" s="3" t="s">
        <v>47</v>
      </c>
      <c r="F62" s="3" t="s">
        <v>42</v>
      </c>
      <c r="G62" s="3" t="s">
        <v>156</v>
      </c>
      <c r="H62" s="3">
        <v>2003.0</v>
      </c>
      <c r="I62" s="3" t="str">
        <f>IF(DB!$H62&gt;1000,LEFT(DB!$H62,2)+1,LEFT(DB!$H62,1)+1)</f>
        <v>21</v>
      </c>
      <c r="J62" s="3" t="s">
        <v>76</v>
      </c>
      <c r="K62" s="3" t="s">
        <v>23</v>
      </c>
      <c r="L62" s="3" t="s">
        <v>24</v>
      </c>
      <c r="M62" s="3"/>
      <c r="N62" s="3">
        <v>215.0</v>
      </c>
      <c r="O62" s="5">
        <v>43831.0</v>
      </c>
      <c r="P62" s="3">
        <v>3.5</v>
      </c>
    </row>
    <row r="63" ht="14.25" customHeight="1">
      <c r="A63" s="3"/>
      <c r="B63" s="4" t="s">
        <v>157</v>
      </c>
      <c r="C63" s="4" t="s">
        <v>17</v>
      </c>
      <c r="D63" s="4" t="s">
        <v>18</v>
      </c>
      <c r="E63" s="3" t="s">
        <v>47</v>
      </c>
      <c r="F63" s="3" t="s">
        <v>42</v>
      </c>
      <c r="G63" s="3" t="s">
        <v>156</v>
      </c>
      <c r="H63" s="3">
        <v>2005.0</v>
      </c>
      <c r="I63" s="3" t="str">
        <f>IF(DB!$H63&gt;1000,LEFT(DB!$H63,2)+1,LEFT(DB!$H63,1)+1)</f>
        <v>21</v>
      </c>
      <c r="J63" s="3" t="s">
        <v>76</v>
      </c>
      <c r="K63" s="3" t="s">
        <v>23</v>
      </c>
      <c r="L63" s="3" t="s">
        <v>24</v>
      </c>
      <c r="M63" s="3"/>
      <c r="N63" s="3">
        <v>277.0</v>
      </c>
      <c r="O63" s="5">
        <v>43831.0</v>
      </c>
      <c r="P63" s="3">
        <v>3.5</v>
      </c>
    </row>
    <row r="64" ht="14.25" customHeight="1">
      <c r="A64" s="3"/>
      <c r="B64" s="4" t="s">
        <v>158</v>
      </c>
      <c r="C64" s="4" t="s">
        <v>17</v>
      </c>
      <c r="D64" s="4" t="s">
        <v>18</v>
      </c>
      <c r="E64" s="3" t="s">
        <v>47</v>
      </c>
      <c r="F64" s="3" t="s">
        <v>42</v>
      </c>
      <c r="G64" s="3" t="s">
        <v>156</v>
      </c>
      <c r="H64" s="3">
        <v>2004.0</v>
      </c>
      <c r="I64" s="3" t="str">
        <f>IF(DB!$H64&gt;1000,LEFT(DB!$H64,2)+1,LEFT(DB!$H64,1)+1)</f>
        <v>21</v>
      </c>
      <c r="J64" s="3" t="s">
        <v>76</v>
      </c>
      <c r="K64" s="3" t="s">
        <v>23</v>
      </c>
      <c r="L64" s="3" t="s">
        <v>24</v>
      </c>
      <c r="M64" s="3"/>
      <c r="N64" s="3">
        <v>214.0</v>
      </c>
      <c r="O64" s="5">
        <v>43831.0</v>
      </c>
      <c r="P64" s="3">
        <v>3.5</v>
      </c>
    </row>
    <row r="65" ht="14.25" customHeight="1">
      <c r="A65" s="3"/>
      <c r="B65" s="4" t="s">
        <v>159</v>
      </c>
      <c r="C65" s="4" t="s">
        <v>17</v>
      </c>
      <c r="D65" s="4" t="s">
        <v>18</v>
      </c>
      <c r="E65" s="3" t="s">
        <v>47</v>
      </c>
      <c r="F65" s="3" t="s">
        <v>42</v>
      </c>
      <c r="G65" s="3" t="s">
        <v>156</v>
      </c>
      <c r="H65" s="3">
        <v>2002.0</v>
      </c>
      <c r="I65" s="3" t="str">
        <f>IF(DB!$H65&gt;1000,LEFT(DB!$H65,2)+1,LEFT(DB!$H65,1)+1)</f>
        <v>21</v>
      </c>
      <c r="J65" s="3" t="s">
        <v>76</v>
      </c>
      <c r="K65" s="3" t="s">
        <v>23</v>
      </c>
      <c r="L65" s="3" t="s">
        <v>24</v>
      </c>
      <c r="M65" s="3"/>
      <c r="N65" s="3">
        <v>255.0</v>
      </c>
      <c r="O65" s="5">
        <v>43831.0</v>
      </c>
      <c r="P65" s="3">
        <v>3.5</v>
      </c>
    </row>
    <row r="66" ht="14.25" customHeight="1">
      <c r="A66" s="3"/>
      <c r="B66" s="4" t="s">
        <v>160</v>
      </c>
      <c r="C66" s="4" t="s">
        <v>17</v>
      </c>
      <c r="D66" s="4" t="s">
        <v>60</v>
      </c>
      <c r="E66" s="3" t="s">
        <v>41</v>
      </c>
      <c r="F66" s="3" t="s">
        <v>42</v>
      </c>
      <c r="G66" s="3" t="s">
        <v>161</v>
      </c>
      <c r="H66" s="3">
        <v>1999.0</v>
      </c>
      <c r="I66" s="3" t="str">
        <f>IF(DB!$H66&gt;1000,LEFT(DB!$H66,2)+1,LEFT(DB!$H66,1)+1)</f>
        <v>20</v>
      </c>
      <c r="J66" s="3" t="s">
        <v>67</v>
      </c>
      <c r="K66" s="3" t="s">
        <v>23</v>
      </c>
      <c r="L66" s="3" t="s">
        <v>24</v>
      </c>
      <c r="M66" s="3"/>
      <c r="N66" s="3">
        <v>192.0</v>
      </c>
      <c r="O66" s="5">
        <v>43831.0</v>
      </c>
      <c r="P66" s="3">
        <v>4.0</v>
      </c>
    </row>
    <row r="67" ht="14.25" customHeight="1">
      <c r="A67" s="3"/>
      <c r="B67" s="4" t="s">
        <v>162</v>
      </c>
      <c r="C67" s="4" t="s">
        <v>28</v>
      </c>
      <c r="D67" s="4" t="s">
        <v>18</v>
      </c>
      <c r="E67" s="3" t="s">
        <v>36</v>
      </c>
      <c r="F67" s="3" t="s">
        <v>37</v>
      </c>
      <c r="G67" s="3" t="s">
        <v>143</v>
      </c>
      <c r="H67" s="3">
        <v>2008.0</v>
      </c>
      <c r="I67" s="3" t="str">
        <f>IF(DB!$H67&gt;1000,LEFT(DB!$H67,2)+1,LEFT(DB!$H67,1)+1)</f>
        <v>21</v>
      </c>
      <c r="J67" s="3" t="s">
        <v>72</v>
      </c>
      <c r="K67" s="3" t="s">
        <v>33</v>
      </c>
      <c r="L67" s="3" t="s">
        <v>24</v>
      </c>
      <c r="M67" s="3"/>
      <c r="N67" s="3">
        <v>400.0</v>
      </c>
      <c r="O67" s="5">
        <v>43831.0</v>
      </c>
      <c r="P67" s="3">
        <v>4.5</v>
      </c>
    </row>
    <row r="68" ht="14.25" customHeight="1">
      <c r="A68" s="3"/>
      <c r="B68" s="4" t="s">
        <v>163</v>
      </c>
      <c r="C68" s="4" t="s">
        <v>110</v>
      </c>
      <c r="D68" s="4" t="s">
        <v>18</v>
      </c>
      <c r="E68" s="3" t="s">
        <v>19</v>
      </c>
      <c r="F68" s="3" t="s">
        <v>20</v>
      </c>
      <c r="G68" s="3" t="s">
        <v>164</v>
      </c>
      <c r="H68" s="3">
        <v>1882.0</v>
      </c>
      <c r="I68" s="3" t="str">
        <f>IF(DB!$H68&gt;1000,LEFT(DB!$H68,2)+1,LEFT(DB!$H68,1)+1)</f>
        <v>19</v>
      </c>
      <c r="J68" s="3" t="s">
        <v>165</v>
      </c>
      <c r="K68" s="3" t="s">
        <v>23</v>
      </c>
      <c r="L68" s="3" t="s">
        <v>34</v>
      </c>
      <c r="M68" s="3"/>
      <c r="N68" s="3">
        <v>304.0</v>
      </c>
      <c r="O68" s="5">
        <v>43831.0</v>
      </c>
      <c r="P68" s="3">
        <v>5.0</v>
      </c>
    </row>
    <row r="69" ht="14.25" customHeight="1">
      <c r="A69" s="3"/>
      <c r="B69" s="4" t="s">
        <v>166</v>
      </c>
      <c r="C69" s="4" t="s">
        <v>17</v>
      </c>
      <c r="D69" s="4" t="s">
        <v>60</v>
      </c>
      <c r="E69" s="3" t="s">
        <v>41</v>
      </c>
      <c r="F69" s="3" t="s">
        <v>42</v>
      </c>
      <c r="G69" s="3" t="s">
        <v>167</v>
      </c>
      <c r="H69" s="3">
        <v>2000.0</v>
      </c>
      <c r="I69" s="3" t="str">
        <f>IF(DB!$H69&gt;1000,LEFT(DB!$H69,2)+1,LEFT(DB!$H69,1)+1)</f>
        <v>21</v>
      </c>
      <c r="J69" s="3" t="s">
        <v>67</v>
      </c>
      <c r="K69" s="3" t="s">
        <v>23</v>
      </c>
      <c r="L69" s="3" t="s">
        <v>24</v>
      </c>
      <c r="M69" s="3"/>
      <c r="N69" s="3">
        <v>176.0</v>
      </c>
      <c r="O69" s="5">
        <v>43831.0</v>
      </c>
      <c r="P69" s="3">
        <v>4.0</v>
      </c>
    </row>
    <row r="70" ht="14.25" customHeight="1">
      <c r="A70" s="3"/>
      <c r="B70" s="4" t="s">
        <v>168</v>
      </c>
      <c r="C70" s="4" t="s">
        <v>28</v>
      </c>
      <c r="D70" s="4" t="s">
        <v>18</v>
      </c>
      <c r="E70" s="3" t="s">
        <v>169</v>
      </c>
      <c r="F70" s="3" t="s">
        <v>37</v>
      </c>
      <c r="G70" s="3" t="s">
        <v>170</v>
      </c>
      <c r="H70" s="3">
        <v>1985.0</v>
      </c>
      <c r="I70" s="3" t="str">
        <f>IF(DB!$H70&gt;1000,LEFT(DB!$H70,2)+1,LEFT(DB!$H70,1)+1)</f>
        <v>20</v>
      </c>
      <c r="J70" s="3" t="s">
        <v>72</v>
      </c>
      <c r="K70" s="3" t="s">
        <v>33</v>
      </c>
      <c r="L70" s="3" t="s">
        <v>24</v>
      </c>
      <c r="M70" s="3"/>
      <c r="N70" s="3">
        <v>368.0</v>
      </c>
      <c r="O70" s="5">
        <v>43831.0</v>
      </c>
      <c r="P70" s="3">
        <v>3.5</v>
      </c>
    </row>
    <row r="71" ht="14.25" customHeight="1">
      <c r="A71" s="3"/>
      <c r="B71" s="4" t="s">
        <v>171</v>
      </c>
      <c r="C71" s="4" t="s">
        <v>110</v>
      </c>
      <c r="D71" s="4" t="s">
        <v>18</v>
      </c>
      <c r="E71" s="3" t="s">
        <v>36</v>
      </c>
      <c r="F71" s="3" t="s">
        <v>37</v>
      </c>
      <c r="G71" s="3" t="s">
        <v>172</v>
      </c>
      <c r="H71" s="3">
        <v>1930.0</v>
      </c>
      <c r="I71" s="3" t="str">
        <f>IF(DB!$H71&gt;1000,LEFT(DB!$H71,2)+1,LEFT(DB!$H71,1)+1)</f>
        <v>20</v>
      </c>
      <c r="J71" s="3" t="s">
        <v>173</v>
      </c>
      <c r="K71" s="3" t="s">
        <v>23</v>
      </c>
      <c r="L71" s="3" t="s">
        <v>24</v>
      </c>
      <c r="M71" s="3"/>
      <c r="N71" s="3">
        <v>416.0</v>
      </c>
      <c r="O71" s="5">
        <v>43831.0</v>
      </c>
      <c r="P71" s="3">
        <v>3.0</v>
      </c>
    </row>
    <row r="72" ht="14.25" customHeight="1">
      <c r="A72" s="3"/>
      <c r="B72" s="4" t="s">
        <v>174</v>
      </c>
      <c r="C72" s="4" t="s">
        <v>17</v>
      </c>
      <c r="D72" s="4" t="s">
        <v>18</v>
      </c>
      <c r="E72" s="3" t="s">
        <v>36</v>
      </c>
      <c r="F72" s="3" t="s">
        <v>37</v>
      </c>
      <c r="G72" s="3" t="s">
        <v>71</v>
      </c>
      <c r="H72" s="3">
        <v>2000.0</v>
      </c>
      <c r="I72" s="3" t="str">
        <f>IF(DB!$H72&gt;1000,LEFT(DB!$H72,2)+1,LEFT(DB!$H72,1)+1)</f>
        <v>21</v>
      </c>
      <c r="J72" s="3" t="s">
        <v>72</v>
      </c>
      <c r="K72" s="3" t="s">
        <v>23</v>
      </c>
      <c r="L72" s="3" t="s">
        <v>24</v>
      </c>
      <c r="M72" s="3"/>
      <c r="N72" s="3">
        <v>127.0</v>
      </c>
      <c r="O72" s="5">
        <v>43831.0</v>
      </c>
      <c r="P72" s="3">
        <v>3.5</v>
      </c>
    </row>
    <row r="73" ht="14.25" customHeight="1">
      <c r="A73" s="3"/>
      <c r="B73" s="4" t="s">
        <v>175</v>
      </c>
      <c r="C73" s="4" t="s">
        <v>28</v>
      </c>
      <c r="D73" s="4" t="s">
        <v>18</v>
      </c>
      <c r="E73" s="3" t="s">
        <v>176</v>
      </c>
      <c r="F73" s="3" t="s">
        <v>177</v>
      </c>
      <c r="G73" s="3" t="s">
        <v>178</v>
      </c>
      <c r="H73" s="3">
        <v>1924.0</v>
      </c>
      <c r="I73" s="3" t="str">
        <f>IF(DB!$H73&gt;1000,LEFT(DB!$H73,2)+1,LEFT(DB!$H73,1)+1)</f>
        <v>20</v>
      </c>
      <c r="J73" s="3" t="s">
        <v>84</v>
      </c>
      <c r="K73" s="3" t="s">
        <v>23</v>
      </c>
      <c r="L73" s="3" t="s">
        <v>24</v>
      </c>
      <c r="M73" s="3"/>
      <c r="N73" s="3">
        <v>344.0</v>
      </c>
      <c r="O73" s="5">
        <v>43831.0</v>
      </c>
      <c r="P73" s="3">
        <v>4.0</v>
      </c>
    </row>
    <row r="74" ht="14.25" customHeight="1">
      <c r="A74" s="3"/>
      <c r="B74" s="4" t="s">
        <v>179</v>
      </c>
      <c r="C74" s="4" t="s">
        <v>28</v>
      </c>
      <c r="D74" s="4" t="s">
        <v>18</v>
      </c>
      <c r="E74" s="3" t="s">
        <v>36</v>
      </c>
      <c r="F74" s="3" t="s">
        <v>37</v>
      </c>
      <c r="G74" s="3" t="s">
        <v>180</v>
      </c>
      <c r="H74" s="3">
        <v>1876.0</v>
      </c>
      <c r="I74" s="3" t="str">
        <f>IF(DB!$H74&gt;1000,LEFT(DB!$H74,2)+1,LEFT(DB!$H74,1)+1)</f>
        <v>19</v>
      </c>
      <c r="J74" s="3" t="s">
        <v>79</v>
      </c>
      <c r="K74" s="3" t="s">
        <v>23</v>
      </c>
      <c r="L74" s="3" t="s">
        <v>24</v>
      </c>
      <c r="M74" s="3"/>
      <c r="N74" s="3">
        <v>224.0</v>
      </c>
      <c r="O74" s="5">
        <v>43831.0</v>
      </c>
      <c r="P74" s="3">
        <v>3.5</v>
      </c>
    </row>
    <row r="75" ht="14.25" customHeight="1">
      <c r="A75" s="3"/>
      <c r="B75" s="4" t="s">
        <v>181</v>
      </c>
      <c r="C75" s="4" t="s">
        <v>28</v>
      </c>
      <c r="D75" s="4" t="s">
        <v>18</v>
      </c>
      <c r="E75" s="3" t="s">
        <v>182</v>
      </c>
      <c r="F75" s="3" t="s">
        <v>20</v>
      </c>
      <c r="G75" s="3" t="s">
        <v>183</v>
      </c>
      <c r="H75" s="3">
        <v>2014.0</v>
      </c>
      <c r="I75" s="3" t="str">
        <f>IF(DB!$H75&gt;1000,LEFT(DB!$H75,2)+1,LEFT(DB!$H75,1)+1)</f>
        <v>21</v>
      </c>
      <c r="J75" s="3" t="s">
        <v>184</v>
      </c>
      <c r="K75" s="3" t="s">
        <v>23</v>
      </c>
      <c r="L75" s="3" t="s">
        <v>34</v>
      </c>
      <c r="M75" s="3"/>
      <c r="N75" s="3">
        <v>736.0</v>
      </c>
      <c r="O75" s="5">
        <v>43831.0</v>
      </c>
      <c r="P75" s="3">
        <v>5.0</v>
      </c>
    </row>
    <row r="76" ht="14.25" customHeight="1">
      <c r="A76" s="3"/>
      <c r="B76" s="4" t="s">
        <v>185</v>
      </c>
      <c r="C76" s="4" t="s">
        <v>110</v>
      </c>
      <c r="D76" s="4" t="s">
        <v>18</v>
      </c>
      <c r="E76" s="3" t="s">
        <v>19</v>
      </c>
      <c r="F76" s="3" t="s">
        <v>20</v>
      </c>
      <c r="G76" s="3" t="s">
        <v>186</v>
      </c>
      <c r="H76" s="3">
        <v>1988.0</v>
      </c>
      <c r="I76" s="3" t="str">
        <f>IF(DB!$H76&gt;1000,LEFT(DB!$H76,2)+1,LEFT(DB!$H76,1)+1)</f>
        <v>20</v>
      </c>
      <c r="J76" s="3" t="s">
        <v>39</v>
      </c>
      <c r="K76" s="3" t="s">
        <v>23</v>
      </c>
      <c r="L76" s="3" t="s">
        <v>24</v>
      </c>
      <c r="M76" s="3"/>
      <c r="N76" s="3">
        <v>176.0</v>
      </c>
      <c r="O76" s="5">
        <v>43831.0</v>
      </c>
      <c r="P76" s="3">
        <v>3.0</v>
      </c>
    </row>
    <row r="77" ht="14.25" customHeight="1">
      <c r="A77" s="3"/>
      <c r="B77" s="4" t="s">
        <v>187</v>
      </c>
      <c r="C77" s="4" t="s">
        <v>17</v>
      </c>
      <c r="D77" s="4" t="s">
        <v>18</v>
      </c>
      <c r="E77" s="3" t="s">
        <v>41</v>
      </c>
      <c r="F77" s="3" t="s">
        <v>42</v>
      </c>
      <c r="G77" s="3" t="s">
        <v>43</v>
      </c>
      <c r="H77" s="3">
        <v>1979.0</v>
      </c>
      <c r="I77" s="3" t="str">
        <f>IF(DB!$H77&gt;1000,LEFT(DB!$H77,2)+1,LEFT(DB!$H77,1)+1)</f>
        <v>20</v>
      </c>
      <c r="J77" s="3" t="s">
        <v>44</v>
      </c>
      <c r="K77" s="3" t="s">
        <v>23</v>
      </c>
      <c r="L77" s="3" t="s">
        <v>24</v>
      </c>
      <c r="M77" s="3"/>
      <c r="N77" s="3">
        <v>176.0</v>
      </c>
      <c r="O77" s="5">
        <v>43831.0</v>
      </c>
      <c r="P77" s="3">
        <v>4.0</v>
      </c>
    </row>
    <row r="78" ht="14.25" customHeight="1">
      <c r="A78" s="3"/>
      <c r="B78" s="4" t="s">
        <v>188</v>
      </c>
      <c r="C78" s="4" t="s">
        <v>17</v>
      </c>
      <c r="D78" s="4" t="s">
        <v>18</v>
      </c>
      <c r="E78" s="3" t="s">
        <v>41</v>
      </c>
      <c r="F78" s="3" t="s">
        <v>42</v>
      </c>
      <c r="G78" s="3" t="s">
        <v>43</v>
      </c>
      <c r="H78" s="3">
        <v>1980.0</v>
      </c>
      <c r="I78" s="3" t="str">
        <f>IF(DB!$H78&gt;1000,LEFT(DB!$H78,2)+1,LEFT(DB!$H78,1)+1)</f>
        <v>20</v>
      </c>
      <c r="J78" s="3" t="s">
        <v>44</v>
      </c>
      <c r="K78" s="3" t="s">
        <v>23</v>
      </c>
      <c r="L78" s="3" t="s">
        <v>24</v>
      </c>
      <c r="M78" s="3"/>
      <c r="N78" s="3">
        <v>173.0</v>
      </c>
      <c r="O78" s="5">
        <v>43831.0</v>
      </c>
      <c r="P78" s="3">
        <v>3.5</v>
      </c>
    </row>
    <row r="79" ht="14.25" customHeight="1">
      <c r="A79" s="3"/>
      <c r="B79" s="4" t="s">
        <v>189</v>
      </c>
      <c r="C79" s="4" t="s">
        <v>28</v>
      </c>
      <c r="D79" s="4" t="s">
        <v>18</v>
      </c>
      <c r="E79" s="3" t="s">
        <v>36</v>
      </c>
      <c r="F79" s="3" t="s">
        <v>37</v>
      </c>
      <c r="G79" s="3" t="s">
        <v>190</v>
      </c>
      <c r="H79" s="3">
        <v>2008.0</v>
      </c>
      <c r="I79" s="3" t="str">
        <f>IF(DB!$H79&gt;1000,LEFT(DB!$H79,2)+1,LEFT(DB!$H79,1)+1)</f>
        <v>21</v>
      </c>
      <c r="J79" s="3" t="s">
        <v>184</v>
      </c>
      <c r="K79" s="3" t="s">
        <v>23</v>
      </c>
      <c r="L79" s="3" t="s">
        <v>24</v>
      </c>
      <c r="M79" s="3"/>
      <c r="N79" s="3">
        <v>392.0</v>
      </c>
      <c r="O79" s="5">
        <v>43831.0</v>
      </c>
      <c r="P79" s="3">
        <v>4.0</v>
      </c>
    </row>
    <row r="80" ht="14.25" customHeight="1">
      <c r="A80" s="3"/>
      <c r="B80" s="4" t="s">
        <v>191</v>
      </c>
      <c r="C80" s="4" t="s">
        <v>28</v>
      </c>
      <c r="D80" s="4" t="s">
        <v>18</v>
      </c>
      <c r="E80" s="3" t="s">
        <v>36</v>
      </c>
      <c r="F80" s="3" t="s">
        <v>37</v>
      </c>
      <c r="G80" s="3" t="s">
        <v>190</v>
      </c>
      <c r="H80" s="3">
        <v>2007.0</v>
      </c>
      <c r="I80" s="3" t="str">
        <f>IF(DB!$H80&gt;1000,LEFT(DB!$H80,2)+1,LEFT(DB!$H80,1)+1)</f>
        <v>21</v>
      </c>
      <c r="J80" s="3" t="s">
        <v>184</v>
      </c>
      <c r="K80" s="3" t="s">
        <v>23</v>
      </c>
      <c r="L80" s="3" t="s">
        <v>24</v>
      </c>
      <c r="M80" s="3"/>
      <c r="N80" s="3">
        <v>336.0</v>
      </c>
      <c r="O80" s="5">
        <v>43831.0</v>
      </c>
      <c r="P80" s="3">
        <v>3.5</v>
      </c>
    </row>
    <row r="81" ht="14.25" customHeight="1">
      <c r="A81" s="3"/>
      <c r="B81" s="4" t="s">
        <v>192</v>
      </c>
      <c r="C81" s="4" t="s">
        <v>28</v>
      </c>
      <c r="D81" s="4" t="s">
        <v>18</v>
      </c>
      <c r="E81" s="3" t="s">
        <v>36</v>
      </c>
      <c r="F81" s="3" t="s">
        <v>37</v>
      </c>
      <c r="G81" s="3" t="s">
        <v>190</v>
      </c>
      <c r="H81" s="3">
        <v>2006.0</v>
      </c>
      <c r="I81" s="3" t="str">
        <f>IF(DB!$H81&gt;1000,LEFT(DB!$H81,2)+1,LEFT(DB!$H81,1)+1)</f>
        <v>21</v>
      </c>
      <c r="J81" s="3" t="s">
        <v>184</v>
      </c>
      <c r="K81" s="3" t="s">
        <v>23</v>
      </c>
      <c r="L81" s="3" t="s">
        <v>24</v>
      </c>
      <c r="M81" s="3"/>
      <c r="N81" s="3">
        <v>304.0</v>
      </c>
      <c r="O81" s="5">
        <v>43831.0</v>
      </c>
      <c r="P81" s="3">
        <v>3.5</v>
      </c>
    </row>
    <row r="82" ht="14.25" customHeight="1">
      <c r="A82" s="3"/>
      <c r="B82" s="4" t="s">
        <v>193</v>
      </c>
      <c r="C82" s="4" t="s">
        <v>28</v>
      </c>
      <c r="D82" s="4" t="s">
        <v>18</v>
      </c>
      <c r="E82" s="3" t="s">
        <v>36</v>
      </c>
      <c r="F82" s="3" t="s">
        <v>37</v>
      </c>
      <c r="G82" s="3" t="s">
        <v>190</v>
      </c>
      <c r="H82" s="3">
        <v>2005.0</v>
      </c>
      <c r="I82" s="3" t="str">
        <f>IF(DB!$H82&gt;1000,LEFT(DB!$H82,2)+1,LEFT(DB!$H82,1)+1)</f>
        <v>21</v>
      </c>
      <c r="J82" s="3" t="s">
        <v>184</v>
      </c>
      <c r="K82" s="3" t="s">
        <v>23</v>
      </c>
      <c r="L82" s="3" t="s">
        <v>24</v>
      </c>
      <c r="M82" s="3"/>
      <c r="N82" s="3">
        <v>400.0</v>
      </c>
      <c r="O82" s="5">
        <v>43831.0</v>
      </c>
      <c r="P82" s="3">
        <v>4.5</v>
      </c>
    </row>
    <row r="83" ht="14.25" customHeight="1">
      <c r="A83" s="3"/>
      <c r="B83" s="4" t="s">
        <v>194</v>
      </c>
      <c r="C83" s="4" t="s">
        <v>28</v>
      </c>
      <c r="D83" s="4" t="s">
        <v>18</v>
      </c>
      <c r="E83" s="3" t="s">
        <v>36</v>
      </c>
      <c r="F83" s="3" t="s">
        <v>37</v>
      </c>
      <c r="G83" s="3" t="s">
        <v>190</v>
      </c>
      <c r="H83" s="3">
        <v>2009.0</v>
      </c>
      <c r="I83" s="3" t="str">
        <f>IF(DB!$H83&gt;1000,LEFT(DB!$H83,2)+1,LEFT(DB!$H83,1)+1)</f>
        <v>21</v>
      </c>
      <c r="J83" s="3" t="s">
        <v>184</v>
      </c>
      <c r="K83" s="3" t="s">
        <v>23</v>
      </c>
      <c r="L83" s="3" t="s">
        <v>24</v>
      </c>
      <c r="M83" s="3"/>
      <c r="N83" s="3">
        <v>384.0</v>
      </c>
      <c r="O83" s="5">
        <v>43831.0</v>
      </c>
      <c r="P83" s="3">
        <v>4.0</v>
      </c>
    </row>
    <row r="84" ht="14.25" customHeight="1">
      <c r="A84" s="3"/>
      <c r="B84" s="4" t="s">
        <v>195</v>
      </c>
      <c r="C84" s="4" t="s">
        <v>196</v>
      </c>
      <c r="D84" s="4" t="s">
        <v>18</v>
      </c>
      <c r="E84" s="3" t="s">
        <v>41</v>
      </c>
      <c r="F84" s="3" t="s">
        <v>42</v>
      </c>
      <c r="G84" s="3" t="s">
        <v>197</v>
      </c>
      <c r="H84" s="3">
        <v>1600.0</v>
      </c>
      <c r="I84" s="3" t="str">
        <f>IF(DB!$H84&gt;1000,LEFT(DB!$H84,2)+1,LEFT(DB!$H84,1)+1)</f>
        <v>17</v>
      </c>
      <c r="J84" s="3" t="s">
        <v>57</v>
      </c>
      <c r="K84" s="3" t="s">
        <v>23</v>
      </c>
      <c r="L84" s="3" t="s">
        <v>24</v>
      </c>
      <c r="M84" s="3"/>
      <c r="N84" s="3">
        <v>608.0</v>
      </c>
      <c r="O84" s="5">
        <v>43831.0</v>
      </c>
      <c r="P84" s="3">
        <v>4.0</v>
      </c>
    </row>
    <row r="85" ht="14.25" customHeight="1">
      <c r="A85" s="3"/>
      <c r="B85" s="4" t="s">
        <v>198</v>
      </c>
      <c r="C85" s="4" t="s">
        <v>54</v>
      </c>
      <c r="D85" s="4" t="s">
        <v>18</v>
      </c>
      <c r="E85" s="3" t="s">
        <v>140</v>
      </c>
      <c r="F85" s="3" t="s">
        <v>42</v>
      </c>
      <c r="G85" s="3" t="s">
        <v>199</v>
      </c>
      <c r="H85" s="3">
        <v>1572.0</v>
      </c>
      <c r="I85" s="3" t="str">
        <f>IF(DB!$H85&gt;1000,LEFT(DB!$H85,2)+1,LEFT(DB!$H85,1)+1)</f>
        <v>16</v>
      </c>
      <c r="J85" s="3" t="s">
        <v>57</v>
      </c>
      <c r="K85" s="3" t="s">
        <v>23</v>
      </c>
      <c r="L85" s="3" t="s">
        <v>24</v>
      </c>
      <c r="M85" s="3"/>
      <c r="N85" s="3">
        <v>696.0</v>
      </c>
      <c r="O85" s="5">
        <v>43831.0</v>
      </c>
      <c r="P85" s="3">
        <v>4.5</v>
      </c>
    </row>
    <row r="86" ht="14.25" customHeight="1">
      <c r="A86" s="3"/>
      <c r="B86" s="4" t="s">
        <v>200</v>
      </c>
      <c r="C86" s="4" t="s">
        <v>17</v>
      </c>
      <c r="D86" s="4" t="s">
        <v>18</v>
      </c>
      <c r="E86" s="3" t="s">
        <v>19</v>
      </c>
      <c r="F86" s="3" t="s">
        <v>20</v>
      </c>
      <c r="G86" s="3" t="s">
        <v>21</v>
      </c>
      <c r="H86" s="3">
        <v>1987.0</v>
      </c>
      <c r="I86" s="3" t="str">
        <f>IF(DB!$H86&gt;1000,LEFT(DB!$H86,2)+1,LEFT(DB!$H86,1)+1)</f>
        <v>20</v>
      </c>
      <c r="J86" s="3" t="s">
        <v>22</v>
      </c>
      <c r="K86" s="3" t="s">
        <v>23</v>
      </c>
      <c r="L86" s="3" t="s">
        <v>24</v>
      </c>
      <c r="M86" s="3"/>
      <c r="N86" s="3">
        <v>192.0</v>
      </c>
      <c r="O86" s="5">
        <v>43831.0</v>
      </c>
      <c r="P86" s="3">
        <v>3.5</v>
      </c>
    </row>
    <row r="87" ht="14.25" customHeight="1">
      <c r="A87" s="3"/>
      <c r="B87" s="4" t="s">
        <v>201</v>
      </c>
      <c r="C87" s="4" t="s">
        <v>17</v>
      </c>
      <c r="D87" s="4" t="s">
        <v>18</v>
      </c>
      <c r="E87" s="3" t="s">
        <v>41</v>
      </c>
      <c r="F87" s="3" t="s">
        <v>42</v>
      </c>
      <c r="G87" s="3" t="s">
        <v>43</v>
      </c>
      <c r="H87" s="3">
        <v>1992.0</v>
      </c>
      <c r="I87" s="3" t="str">
        <f>IF(DB!$H87&gt;1000,LEFT(DB!$H87,2)+1,LEFT(DB!$H87,1)+1)</f>
        <v>20</v>
      </c>
      <c r="J87" s="3" t="s">
        <v>44</v>
      </c>
      <c r="K87" s="3" t="s">
        <v>23</v>
      </c>
      <c r="L87" s="3" t="s">
        <v>24</v>
      </c>
      <c r="M87" s="3"/>
      <c r="N87" s="3">
        <v>208.0</v>
      </c>
      <c r="O87" s="5">
        <v>43831.0</v>
      </c>
      <c r="P87" s="3">
        <v>3.5</v>
      </c>
    </row>
    <row r="88" ht="14.25" customHeight="1">
      <c r="A88" s="3"/>
      <c r="B88" s="4" t="s">
        <v>202</v>
      </c>
      <c r="C88" s="4" t="s">
        <v>203</v>
      </c>
      <c r="D88" s="4" t="s">
        <v>60</v>
      </c>
      <c r="E88" s="3" t="s">
        <v>19</v>
      </c>
      <c r="F88" s="3" t="s">
        <v>20</v>
      </c>
      <c r="G88" s="3" t="s">
        <v>204</v>
      </c>
      <c r="H88" s="3">
        <v>2014.0</v>
      </c>
      <c r="I88" s="3" t="str">
        <f>IF(DB!$H88&gt;1000,LEFT(DB!$H88,2)+1,LEFT(DB!$H88,1)+1)</f>
        <v>21</v>
      </c>
      <c r="J88" s="3" t="s">
        <v>67</v>
      </c>
      <c r="K88" s="3" t="s">
        <v>23</v>
      </c>
      <c r="L88" s="3" t="s">
        <v>24</v>
      </c>
      <c r="M88" s="3"/>
      <c r="N88" s="3">
        <v>206.0</v>
      </c>
      <c r="O88" s="5">
        <v>43831.0</v>
      </c>
      <c r="P88" s="3">
        <v>3.5</v>
      </c>
    </row>
    <row r="89" ht="14.25" customHeight="1">
      <c r="A89" s="3"/>
      <c r="B89" s="4" t="s">
        <v>205</v>
      </c>
      <c r="C89" s="4" t="s">
        <v>28</v>
      </c>
      <c r="D89" s="4" t="s">
        <v>18</v>
      </c>
      <c r="E89" s="3" t="s">
        <v>140</v>
      </c>
      <c r="F89" s="3" t="s">
        <v>42</v>
      </c>
      <c r="G89" s="3" t="s">
        <v>206</v>
      </c>
      <c r="H89" s="3">
        <v>2010.0</v>
      </c>
      <c r="I89" s="3" t="str">
        <f>IF(DB!$H89&gt;1000,LEFT(DB!$H89,2)+1,LEFT(DB!$H89,1)+1)</f>
        <v>21</v>
      </c>
      <c r="J89" s="3" t="s">
        <v>207</v>
      </c>
      <c r="K89" s="3" t="s">
        <v>23</v>
      </c>
      <c r="L89" s="3" t="s">
        <v>24</v>
      </c>
      <c r="M89" s="3"/>
      <c r="N89" s="3">
        <v>264.0</v>
      </c>
      <c r="O89" s="5">
        <v>43831.0</v>
      </c>
      <c r="P89" s="3">
        <v>5.0</v>
      </c>
    </row>
    <row r="90" ht="14.25" customHeight="1">
      <c r="A90" s="3"/>
      <c r="B90" s="4" t="s">
        <v>208</v>
      </c>
      <c r="C90" s="4" t="s">
        <v>28</v>
      </c>
      <c r="D90" s="4" t="s">
        <v>18</v>
      </c>
      <c r="E90" s="3" t="s">
        <v>140</v>
      </c>
      <c r="F90" s="3" t="s">
        <v>42</v>
      </c>
      <c r="G90" s="3" t="s">
        <v>206</v>
      </c>
      <c r="H90" s="3">
        <v>2008.0</v>
      </c>
      <c r="I90" s="3" t="str">
        <f>IF(DB!$H90&gt;1000,LEFT(DB!$H90,2)+1,LEFT(DB!$H90,1)+1)</f>
        <v>21</v>
      </c>
      <c r="J90" s="3" t="s">
        <v>207</v>
      </c>
      <c r="K90" s="3" t="s">
        <v>23</v>
      </c>
      <c r="L90" s="3" t="s">
        <v>24</v>
      </c>
      <c r="M90" s="3"/>
      <c r="N90" s="3">
        <v>208.0</v>
      </c>
      <c r="O90" s="5">
        <v>43831.0</v>
      </c>
      <c r="P90" s="3">
        <v>4.0</v>
      </c>
    </row>
    <row r="91" ht="14.25" customHeight="1">
      <c r="A91" s="3"/>
      <c r="B91" s="4" t="s">
        <v>209</v>
      </c>
      <c r="C91" s="4" t="s">
        <v>28</v>
      </c>
      <c r="D91" s="4" t="s">
        <v>18</v>
      </c>
      <c r="E91" s="3" t="s">
        <v>140</v>
      </c>
      <c r="F91" s="3" t="s">
        <v>42</v>
      </c>
      <c r="G91" s="3" t="s">
        <v>206</v>
      </c>
      <c r="H91" s="3">
        <v>2011.0</v>
      </c>
      <c r="I91" s="3" t="str">
        <f>IF(DB!$H91&gt;1000,LEFT(DB!$H91,2)+1,LEFT(DB!$H91,1)+1)</f>
        <v>21</v>
      </c>
      <c r="J91" s="3" t="s">
        <v>207</v>
      </c>
      <c r="K91" s="3" t="s">
        <v>23</v>
      </c>
      <c r="L91" s="3" t="s">
        <v>24</v>
      </c>
      <c r="M91" s="3"/>
      <c r="N91" s="3">
        <v>224.0</v>
      </c>
      <c r="O91" s="5">
        <v>43831.0</v>
      </c>
      <c r="P91" s="3">
        <v>5.0</v>
      </c>
    </row>
    <row r="92" ht="14.25" customHeight="1">
      <c r="A92" s="3"/>
      <c r="B92" s="4" t="s">
        <v>210</v>
      </c>
      <c r="C92" s="4" t="s">
        <v>28</v>
      </c>
      <c r="D92" s="4" t="s">
        <v>18</v>
      </c>
      <c r="E92" s="3" t="s">
        <v>140</v>
      </c>
      <c r="F92" s="3" t="s">
        <v>42</v>
      </c>
      <c r="G92" s="3" t="s">
        <v>206</v>
      </c>
      <c r="H92" s="3">
        <v>2006.0</v>
      </c>
      <c r="I92" s="3" t="str">
        <f>IF(DB!$H92&gt;1000,LEFT(DB!$H92,2)+1,LEFT(DB!$H92,1)+1)</f>
        <v>21</v>
      </c>
      <c r="J92" s="3" t="s">
        <v>207</v>
      </c>
      <c r="K92" s="3" t="s">
        <v>23</v>
      </c>
      <c r="L92" s="3" t="s">
        <v>24</v>
      </c>
      <c r="M92" s="3"/>
      <c r="N92" s="3">
        <v>224.0</v>
      </c>
      <c r="O92" s="5">
        <v>43831.0</v>
      </c>
      <c r="P92" s="3">
        <v>3.5</v>
      </c>
    </row>
    <row r="93" ht="14.25" customHeight="1">
      <c r="A93" s="3"/>
      <c r="B93" s="4" t="s">
        <v>211</v>
      </c>
      <c r="C93" s="4" t="s">
        <v>28</v>
      </c>
      <c r="D93" s="4" t="s">
        <v>18</v>
      </c>
      <c r="E93" s="3" t="s">
        <v>47</v>
      </c>
      <c r="F93" s="3" t="s">
        <v>42</v>
      </c>
      <c r="G93" s="3" t="s">
        <v>212</v>
      </c>
      <c r="H93" s="3">
        <v>1862.0</v>
      </c>
      <c r="I93" s="3" t="str">
        <f>IF(DB!$H93&gt;1000,LEFT(DB!$H93,2)+1,LEFT(DB!$H93,1)+1)</f>
        <v>19</v>
      </c>
      <c r="J93" s="3" t="s">
        <v>213</v>
      </c>
      <c r="K93" s="3" t="s">
        <v>23</v>
      </c>
      <c r="L93" s="3" t="s">
        <v>24</v>
      </c>
      <c r="M93" s="3"/>
      <c r="N93" s="3">
        <v>1511.0</v>
      </c>
      <c r="O93" s="5">
        <v>43831.0</v>
      </c>
      <c r="P93" s="3">
        <v>5.0</v>
      </c>
    </row>
    <row r="94" ht="14.25" customHeight="1">
      <c r="A94" s="3"/>
      <c r="B94" s="4" t="s">
        <v>214</v>
      </c>
      <c r="C94" s="4" t="s">
        <v>28</v>
      </c>
      <c r="D94" s="4" t="s">
        <v>18</v>
      </c>
      <c r="E94" s="3" t="s">
        <v>19</v>
      </c>
      <c r="F94" s="3" t="s">
        <v>20</v>
      </c>
      <c r="G94" s="3" t="s">
        <v>215</v>
      </c>
      <c r="H94" s="3">
        <v>1976.0</v>
      </c>
      <c r="I94" s="3" t="str">
        <f>IF(DB!$H94&gt;1000,LEFT(DB!$H94,2)+1,LEFT(DB!$H94,1)+1)</f>
        <v>20</v>
      </c>
      <c r="J94" s="3" t="s">
        <v>216</v>
      </c>
      <c r="K94" s="3" t="s">
        <v>33</v>
      </c>
      <c r="L94" s="3" t="s">
        <v>24</v>
      </c>
      <c r="M94" s="3"/>
      <c r="N94" s="3">
        <v>104.0</v>
      </c>
      <c r="O94" s="5">
        <v>43831.0</v>
      </c>
      <c r="P94" s="3">
        <v>4.0</v>
      </c>
    </row>
    <row r="95" ht="14.25" customHeight="1">
      <c r="A95" s="3"/>
      <c r="B95" s="4" t="s">
        <v>217</v>
      </c>
      <c r="C95" s="4" t="s">
        <v>110</v>
      </c>
      <c r="D95" s="4" t="s">
        <v>18</v>
      </c>
      <c r="E95" s="3" t="s">
        <v>41</v>
      </c>
      <c r="F95" s="3" t="s">
        <v>42</v>
      </c>
      <c r="G95" s="3" t="s">
        <v>218</v>
      </c>
      <c r="H95" s="3">
        <v>1905.0</v>
      </c>
      <c r="I95" s="3" t="str">
        <f>IF(DB!$H95&gt;1000,LEFT(DB!$H95,2)+1,LEFT(DB!$H95,1)+1)</f>
        <v>20</v>
      </c>
      <c r="J95" s="3" t="s">
        <v>49</v>
      </c>
      <c r="K95" s="3" t="s">
        <v>23</v>
      </c>
      <c r="L95" s="3" t="s">
        <v>24</v>
      </c>
      <c r="M95" s="3"/>
      <c r="N95" s="3">
        <v>452.0</v>
      </c>
      <c r="O95" s="5">
        <v>43831.0</v>
      </c>
      <c r="P95" s="3">
        <v>4.0</v>
      </c>
    </row>
    <row r="96" ht="14.25" customHeight="1">
      <c r="A96" s="3"/>
      <c r="B96" s="4" t="s">
        <v>219</v>
      </c>
      <c r="C96" s="4" t="s">
        <v>110</v>
      </c>
      <c r="D96" s="4" t="s">
        <v>18</v>
      </c>
      <c r="E96" s="3" t="s">
        <v>41</v>
      </c>
      <c r="F96" s="3" t="s">
        <v>42</v>
      </c>
      <c r="G96" s="3" t="s">
        <v>218</v>
      </c>
      <c r="H96" s="3">
        <v>1892.0</v>
      </c>
      <c r="I96" s="3" t="str">
        <f>IF(DB!$H96&gt;1000,LEFT(DB!$H96,2)+1,LEFT(DB!$H96,1)+1)</f>
        <v>19</v>
      </c>
      <c r="J96" s="3" t="s">
        <v>49</v>
      </c>
      <c r="K96" s="3" t="s">
        <v>23</v>
      </c>
      <c r="L96" s="3" t="s">
        <v>24</v>
      </c>
      <c r="M96" s="3"/>
      <c r="N96" s="3">
        <v>495.0</v>
      </c>
      <c r="O96" s="5">
        <v>43831.0</v>
      </c>
      <c r="P96" s="3">
        <v>4.0</v>
      </c>
    </row>
    <row r="97" ht="14.25" customHeight="1">
      <c r="A97" s="3"/>
      <c r="B97" s="4" t="s">
        <v>220</v>
      </c>
      <c r="C97" s="4" t="s">
        <v>110</v>
      </c>
      <c r="D97" s="4" t="s">
        <v>18</v>
      </c>
      <c r="E97" s="3" t="s">
        <v>41</v>
      </c>
      <c r="F97" s="3" t="s">
        <v>42</v>
      </c>
      <c r="G97" s="3" t="s">
        <v>218</v>
      </c>
      <c r="H97" s="3">
        <v>1894.0</v>
      </c>
      <c r="I97" s="3" t="str">
        <f>IF(DB!$H97&gt;1000,LEFT(DB!$H97,2)+1,LEFT(DB!$H97,1)+1)</f>
        <v>19</v>
      </c>
      <c r="J97" s="3" t="s">
        <v>49</v>
      </c>
      <c r="K97" s="3" t="s">
        <v>23</v>
      </c>
      <c r="L97" s="3" t="s">
        <v>24</v>
      </c>
      <c r="M97" s="3"/>
      <c r="N97" s="3">
        <v>408.0</v>
      </c>
      <c r="O97" s="5">
        <v>43831.0</v>
      </c>
      <c r="P97" s="3">
        <v>4.0</v>
      </c>
    </row>
    <row r="98" ht="14.25" customHeight="1">
      <c r="A98" s="3"/>
      <c r="B98" s="4" t="s">
        <v>221</v>
      </c>
      <c r="C98" s="4" t="s">
        <v>110</v>
      </c>
      <c r="D98" s="4" t="s">
        <v>18</v>
      </c>
      <c r="E98" s="3" t="s">
        <v>41</v>
      </c>
      <c r="F98" s="3" t="s">
        <v>42</v>
      </c>
      <c r="G98" s="3" t="s">
        <v>218</v>
      </c>
      <c r="H98" s="3">
        <v>1927.0</v>
      </c>
      <c r="I98" s="3" t="str">
        <f>IF(DB!$H98&gt;1000,LEFT(DB!$H98,2)+1,LEFT(DB!$H98,1)+1)</f>
        <v>20</v>
      </c>
      <c r="J98" s="3" t="s">
        <v>49</v>
      </c>
      <c r="K98" s="3" t="s">
        <v>23</v>
      </c>
      <c r="L98" s="3" t="s">
        <v>24</v>
      </c>
      <c r="M98" s="3"/>
      <c r="N98" s="3">
        <v>439.0</v>
      </c>
      <c r="O98" s="5">
        <v>43831.0</v>
      </c>
      <c r="P98" s="3">
        <v>4.0</v>
      </c>
    </row>
    <row r="99" ht="14.25" customHeight="1">
      <c r="A99" s="3"/>
      <c r="B99" s="4" t="s">
        <v>222</v>
      </c>
      <c r="C99" s="4" t="s">
        <v>28</v>
      </c>
      <c r="D99" s="4" t="s">
        <v>18</v>
      </c>
      <c r="E99" s="3" t="s">
        <v>41</v>
      </c>
      <c r="F99" s="3" t="s">
        <v>42</v>
      </c>
      <c r="G99" s="3" t="s">
        <v>218</v>
      </c>
      <c r="H99" s="3">
        <v>1902.0</v>
      </c>
      <c r="I99" s="3" t="str">
        <f>IF(DB!$H99&gt;1000,LEFT(DB!$H99,2)+1,LEFT(DB!$H99,1)+1)</f>
        <v>20</v>
      </c>
      <c r="J99" s="3" t="s">
        <v>49</v>
      </c>
      <c r="K99" s="3" t="s">
        <v>23</v>
      </c>
      <c r="L99" s="3" t="s">
        <v>24</v>
      </c>
      <c r="M99" s="3"/>
      <c r="N99" s="3">
        <v>264.0</v>
      </c>
      <c r="O99" s="5">
        <v>43831.0</v>
      </c>
      <c r="P99" s="3">
        <v>4.0</v>
      </c>
    </row>
    <row r="100" ht="14.25" customHeight="1">
      <c r="A100" s="3"/>
      <c r="B100" s="4" t="s">
        <v>223</v>
      </c>
      <c r="C100" s="4" t="s">
        <v>28</v>
      </c>
      <c r="D100" s="4" t="s">
        <v>18</v>
      </c>
      <c r="E100" s="3" t="s">
        <v>41</v>
      </c>
      <c r="F100" s="3" t="s">
        <v>42</v>
      </c>
      <c r="G100" s="3" t="s">
        <v>218</v>
      </c>
      <c r="H100" s="3">
        <v>1890.0</v>
      </c>
      <c r="I100" s="3" t="str">
        <f>IF(DB!$H100&gt;1000,LEFT(DB!$H100,2)+1,LEFT(DB!$H100,1)+1)</f>
        <v>19</v>
      </c>
      <c r="J100" s="3" t="s">
        <v>49</v>
      </c>
      <c r="K100" s="3" t="s">
        <v>23</v>
      </c>
      <c r="L100" s="3" t="s">
        <v>24</v>
      </c>
      <c r="M100" s="3"/>
      <c r="N100" s="3">
        <v>199.0</v>
      </c>
      <c r="O100" s="5">
        <v>43831.0</v>
      </c>
      <c r="P100" s="3">
        <v>4.0</v>
      </c>
    </row>
    <row r="101" ht="14.25" customHeight="1">
      <c r="A101" s="3"/>
      <c r="B101" s="4" t="s">
        <v>224</v>
      </c>
      <c r="C101" s="4" t="s">
        <v>110</v>
      </c>
      <c r="D101" s="4" t="s">
        <v>18</v>
      </c>
      <c r="E101" s="3" t="s">
        <v>41</v>
      </c>
      <c r="F101" s="3" t="s">
        <v>42</v>
      </c>
      <c r="G101" s="3" t="s">
        <v>218</v>
      </c>
      <c r="H101" s="3">
        <v>1917.0</v>
      </c>
      <c r="I101" s="3" t="str">
        <f>IF(DB!$H101&gt;1000,LEFT(DB!$H101,2)+1,LEFT(DB!$H101,1)+1)</f>
        <v>20</v>
      </c>
      <c r="J101" s="3" t="s">
        <v>49</v>
      </c>
      <c r="K101" s="3" t="s">
        <v>23</v>
      </c>
      <c r="L101" s="3" t="s">
        <v>24</v>
      </c>
      <c r="M101" s="3"/>
      <c r="N101" s="3">
        <v>278.0</v>
      </c>
      <c r="O101" s="5">
        <v>43831.0</v>
      </c>
      <c r="P101" s="3">
        <v>4.0</v>
      </c>
    </row>
    <row r="102" ht="14.25" customHeight="1">
      <c r="A102" s="3"/>
      <c r="B102" s="4" t="s">
        <v>225</v>
      </c>
      <c r="C102" s="4" t="s">
        <v>28</v>
      </c>
      <c r="D102" s="4" t="s">
        <v>18</v>
      </c>
      <c r="E102" s="3" t="s">
        <v>41</v>
      </c>
      <c r="F102" s="3" t="s">
        <v>42</v>
      </c>
      <c r="G102" s="3" t="s">
        <v>218</v>
      </c>
      <c r="H102" s="3">
        <v>1914.0</v>
      </c>
      <c r="I102" s="3" t="str">
        <f>IF(DB!$H102&gt;1000,LEFT(DB!$H102,2)+1,LEFT(DB!$H102,1)+1)</f>
        <v>20</v>
      </c>
      <c r="J102" s="3" t="s">
        <v>49</v>
      </c>
      <c r="K102" s="3" t="s">
        <v>23</v>
      </c>
      <c r="L102" s="3" t="s">
        <v>24</v>
      </c>
      <c r="M102" s="3"/>
      <c r="N102" s="3">
        <v>248.0</v>
      </c>
      <c r="O102" s="5">
        <v>43831.0</v>
      </c>
      <c r="P102" s="3">
        <v>4.5</v>
      </c>
    </row>
    <row r="103" ht="14.25" customHeight="1">
      <c r="A103" s="3"/>
      <c r="B103" s="4" t="s">
        <v>226</v>
      </c>
      <c r="C103" s="4" t="s">
        <v>28</v>
      </c>
      <c r="D103" s="4" t="s">
        <v>18</v>
      </c>
      <c r="E103" s="3" t="s">
        <v>41</v>
      </c>
      <c r="F103" s="3" t="s">
        <v>42</v>
      </c>
      <c r="G103" s="3" t="s">
        <v>218</v>
      </c>
      <c r="H103" s="3">
        <v>1887.0</v>
      </c>
      <c r="I103" s="3" t="str">
        <f>IF(DB!$H103&gt;1000,LEFT(DB!$H103,2)+1,LEFT(DB!$H103,1)+1)</f>
        <v>19</v>
      </c>
      <c r="J103" s="3" t="s">
        <v>49</v>
      </c>
      <c r="K103" s="3" t="s">
        <v>23</v>
      </c>
      <c r="L103" s="3" t="s">
        <v>24</v>
      </c>
      <c r="M103" s="3"/>
      <c r="N103" s="3">
        <v>230.0</v>
      </c>
      <c r="O103" s="5">
        <v>43831.0</v>
      </c>
      <c r="P103" s="3">
        <v>4.5</v>
      </c>
    </row>
    <row r="104" ht="14.25" customHeight="1">
      <c r="A104" s="3"/>
      <c r="B104" s="4" t="s">
        <v>227</v>
      </c>
      <c r="C104" s="4" t="s">
        <v>102</v>
      </c>
      <c r="D104" s="4" t="s">
        <v>60</v>
      </c>
      <c r="E104" s="3" t="s">
        <v>36</v>
      </c>
      <c r="F104" s="3" t="s">
        <v>37</v>
      </c>
      <c r="G104" s="3" t="s">
        <v>103</v>
      </c>
      <c r="H104" s="3">
        <v>2010.0</v>
      </c>
      <c r="I104" s="3" t="str">
        <f>IF(DB!$H104&gt;1000,LEFT(DB!$H104,2)+1,LEFT(DB!$H104,1)+1)</f>
        <v>21</v>
      </c>
      <c r="J104" s="3" t="s">
        <v>49</v>
      </c>
      <c r="K104" s="3" t="s">
        <v>33</v>
      </c>
      <c r="L104" s="3" t="s">
        <v>24</v>
      </c>
      <c r="M104" s="3"/>
      <c r="N104" s="3">
        <v>328.0</v>
      </c>
      <c r="O104" s="5">
        <v>43831.0</v>
      </c>
      <c r="P104" s="3">
        <v>4.5</v>
      </c>
    </row>
    <row r="105" ht="14.25" customHeight="1">
      <c r="A105" s="3"/>
      <c r="B105" s="4" t="s">
        <v>228</v>
      </c>
      <c r="C105" s="4" t="s">
        <v>17</v>
      </c>
      <c r="D105" s="4" t="s">
        <v>18</v>
      </c>
      <c r="E105" s="3" t="s">
        <v>36</v>
      </c>
      <c r="F105" s="3" t="s">
        <v>37</v>
      </c>
      <c r="G105" s="3" t="s">
        <v>229</v>
      </c>
      <c r="H105" s="3">
        <v>2012.0</v>
      </c>
      <c r="I105" s="3" t="str">
        <f>IF(DB!$H105&gt;1000,LEFT(DB!$H105,2)+1,LEFT(DB!$H105,1)+1)</f>
        <v>21</v>
      </c>
      <c r="J105" s="3" t="s">
        <v>230</v>
      </c>
      <c r="K105" s="3" t="s">
        <v>33</v>
      </c>
      <c r="L105" s="3" t="s">
        <v>24</v>
      </c>
      <c r="M105" s="3"/>
      <c r="N105" s="3">
        <v>434.0</v>
      </c>
      <c r="O105" s="5">
        <v>43831.0</v>
      </c>
      <c r="P105" s="3">
        <v>3.5</v>
      </c>
    </row>
    <row r="106" ht="14.25" customHeight="1">
      <c r="A106" s="3"/>
      <c r="B106" s="4" t="s">
        <v>231</v>
      </c>
      <c r="C106" s="4" t="s">
        <v>17</v>
      </c>
      <c r="D106" s="4" t="s">
        <v>18</v>
      </c>
      <c r="E106" s="3" t="s">
        <v>36</v>
      </c>
      <c r="F106" s="3" t="s">
        <v>37</v>
      </c>
      <c r="G106" s="3" t="s">
        <v>229</v>
      </c>
      <c r="H106" s="3">
        <v>2008.0</v>
      </c>
      <c r="I106" s="3" t="str">
        <f>IF(DB!$H106&gt;1000,LEFT(DB!$H106,2)+1,LEFT(DB!$H106,1)+1)</f>
        <v>21</v>
      </c>
      <c r="J106" s="3" t="s">
        <v>230</v>
      </c>
      <c r="K106" s="3" t="s">
        <v>33</v>
      </c>
      <c r="L106" s="3" t="s">
        <v>24</v>
      </c>
      <c r="M106" s="3"/>
      <c r="N106" s="3">
        <v>406.0</v>
      </c>
      <c r="O106" s="5">
        <v>43831.0</v>
      </c>
      <c r="P106" s="3">
        <v>3.5</v>
      </c>
    </row>
    <row r="107" ht="14.25" customHeight="1">
      <c r="A107" s="3"/>
      <c r="B107" s="4" t="s">
        <v>232</v>
      </c>
      <c r="C107" s="4" t="s">
        <v>17</v>
      </c>
      <c r="D107" s="4" t="s">
        <v>18</v>
      </c>
      <c r="E107" s="3" t="s">
        <v>36</v>
      </c>
      <c r="F107" s="3" t="s">
        <v>37</v>
      </c>
      <c r="G107" s="3" t="s">
        <v>229</v>
      </c>
      <c r="H107" s="3">
        <v>2009.0</v>
      </c>
      <c r="I107" s="3" t="str">
        <f>IF(DB!$H107&gt;1000,LEFT(DB!$H107,2)+1,LEFT(DB!$H107,1)+1)</f>
        <v>21</v>
      </c>
      <c r="J107" s="3" t="s">
        <v>230</v>
      </c>
      <c r="K107" s="3" t="s">
        <v>33</v>
      </c>
      <c r="L107" s="3" t="s">
        <v>24</v>
      </c>
      <c r="M107" s="3"/>
      <c r="N107" s="3">
        <v>474.0</v>
      </c>
      <c r="O107" s="5">
        <v>43831.0</v>
      </c>
      <c r="P107" s="3">
        <v>3.5</v>
      </c>
    </row>
    <row r="108" ht="14.25" customHeight="1">
      <c r="A108" s="3"/>
      <c r="B108" s="4" t="s">
        <v>233</v>
      </c>
      <c r="C108" s="4" t="s">
        <v>17</v>
      </c>
      <c r="D108" s="4" t="s">
        <v>18</v>
      </c>
      <c r="E108" s="3" t="s">
        <v>36</v>
      </c>
      <c r="F108" s="3" t="s">
        <v>37</v>
      </c>
      <c r="G108" s="3" t="s">
        <v>229</v>
      </c>
      <c r="H108" s="3">
        <v>2011.0</v>
      </c>
      <c r="I108" s="3" t="str">
        <f>IF(DB!$H108&gt;1000,LEFT(DB!$H108,2)+1,LEFT(DB!$H108,1)+1)</f>
        <v>21</v>
      </c>
      <c r="J108" s="3" t="s">
        <v>230</v>
      </c>
      <c r="K108" s="3" t="s">
        <v>33</v>
      </c>
      <c r="L108" s="3" t="s">
        <v>24</v>
      </c>
      <c r="M108" s="3"/>
      <c r="N108" s="3">
        <v>364.0</v>
      </c>
      <c r="O108" s="5">
        <v>43831.0</v>
      </c>
      <c r="P108" s="3">
        <v>3.5</v>
      </c>
    </row>
    <row r="109" ht="14.25" customHeight="1">
      <c r="A109" s="3"/>
      <c r="B109" s="4" t="s">
        <v>234</v>
      </c>
      <c r="C109" s="4" t="s">
        <v>28</v>
      </c>
      <c r="D109" s="4" t="s">
        <v>18</v>
      </c>
      <c r="E109" s="3" t="s">
        <v>235</v>
      </c>
      <c r="F109" s="3" t="s">
        <v>42</v>
      </c>
      <c r="G109" s="3" t="s">
        <v>236</v>
      </c>
      <c r="H109" s="3">
        <v>1962.0</v>
      </c>
      <c r="I109" s="3" t="str">
        <f>IF(DB!$H109&gt;1000,LEFT(DB!$H109,2)+1,LEFT(DB!$H109,1)+1)</f>
        <v>20</v>
      </c>
      <c r="J109" s="3" t="s">
        <v>32</v>
      </c>
      <c r="K109" s="3" t="s">
        <v>33</v>
      </c>
      <c r="L109" s="3" t="s">
        <v>24</v>
      </c>
      <c r="M109" s="3"/>
      <c r="N109" s="3">
        <v>256.0</v>
      </c>
      <c r="O109" s="5">
        <v>43831.0</v>
      </c>
      <c r="P109" s="3">
        <v>4.0</v>
      </c>
    </row>
    <row r="110" ht="14.25" customHeight="1">
      <c r="A110" s="3"/>
      <c r="B110" s="4" t="s">
        <v>237</v>
      </c>
      <c r="C110" s="4" t="s">
        <v>28</v>
      </c>
      <c r="D110" s="4" t="s">
        <v>18</v>
      </c>
      <c r="E110" s="3" t="s">
        <v>36</v>
      </c>
      <c r="F110" s="3" t="s">
        <v>37</v>
      </c>
      <c r="G110" s="3" t="s">
        <v>238</v>
      </c>
      <c r="H110" s="3">
        <v>2008.0</v>
      </c>
      <c r="I110" s="3" t="str">
        <f>IF(DB!$H110&gt;1000,LEFT(DB!$H110,2)+1,LEFT(DB!$H110,1)+1)</f>
        <v>21</v>
      </c>
      <c r="J110" s="3" t="s">
        <v>72</v>
      </c>
      <c r="K110" s="3" t="s">
        <v>23</v>
      </c>
      <c r="L110" s="3" t="s">
        <v>24</v>
      </c>
      <c r="M110" s="3"/>
      <c r="N110" s="3">
        <v>706.0</v>
      </c>
      <c r="O110" s="5">
        <v>43831.0</v>
      </c>
      <c r="P110" s="3">
        <v>4.5</v>
      </c>
    </row>
    <row r="111" ht="14.25" customHeight="1">
      <c r="A111" s="3"/>
      <c r="B111" s="4" t="s">
        <v>239</v>
      </c>
      <c r="C111" s="4" t="s">
        <v>28</v>
      </c>
      <c r="D111" s="4" t="s">
        <v>18</v>
      </c>
      <c r="E111" s="3" t="s">
        <v>36</v>
      </c>
      <c r="F111" s="3" t="s">
        <v>37</v>
      </c>
      <c r="G111" s="3" t="s">
        <v>238</v>
      </c>
      <c r="H111" s="3">
        <v>2005.0</v>
      </c>
      <c r="I111" s="3" t="str">
        <f>IF(DB!$H111&gt;1000,LEFT(DB!$H111,2)+1,LEFT(DB!$H111,1)+1)</f>
        <v>21</v>
      </c>
      <c r="J111" s="3" t="s">
        <v>72</v>
      </c>
      <c r="K111" s="3" t="s">
        <v>23</v>
      </c>
      <c r="L111" s="3" t="s">
        <v>24</v>
      </c>
      <c r="M111" s="3"/>
      <c r="N111" s="3">
        <v>644.0</v>
      </c>
      <c r="O111" s="5">
        <v>43831.0</v>
      </c>
      <c r="P111" s="3">
        <v>4.0</v>
      </c>
    </row>
    <row r="112" ht="14.25" customHeight="1">
      <c r="A112" s="3"/>
      <c r="B112" s="4" t="s">
        <v>240</v>
      </c>
      <c r="C112" s="4" t="s">
        <v>28</v>
      </c>
      <c r="D112" s="4" t="s">
        <v>18</v>
      </c>
      <c r="E112" s="3" t="s">
        <v>36</v>
      </c>
      <c r="F112" s="3" t="s">
        <v>37</v>
      </c>
      <c r="G112" s="3" t="s">
        <v>238</v>
      </c>
      <c r="H112" s="3">
        <v>2002.0</v>
      </c>
      <c r="I112" s="3" t="str">
        <f>IF(DB!$H112&gt;1000,LEFT(DB!$H112,2)+1,LEFT(DB!$H112,1)+1)</f>
        <v>21</v>
      </c>
      <c r="J112" s="3" t="s">
        <v>72</v>
      </c>
      <c r="K112" s="3" t="s">
        <v>23</v>
      </c>
      <c r="L112" s="3" t="s">
        <v>24</v>
      </c>
      <c r="M112" s="3"/>
      <c r="N112" s="3">
        <v>468.0</v>
      </c>
      <c r="O112" s="5">
        <v>43831.0</v>
      </c>
      <c r="P112" s="3">
        <v>4.5</v>
      </c>
    </row>
    <row r="113" ht="14.25" customHeight="1">
      <c r="A113" s="3"/>
      <c r="B113" s="4" t="s">
        <v>241</v>
      </c>
      <c r="C113" s="4" t="s">
        <v>28</v>
      </c>
      <c r="D113" s="4" t="s">
        <v>18</v>
      </c>
      <c r="E113" s="3" t="s">
        <v>36</v>
      </c>
      <c r="F113" s="3" t="s">
        <v>37</v>
      </c>
      <c r="G113" s="3" t="s">
        <v>238</v>
      </c>
      <c r="H113" s="3">
        <v>2011.0</v>
      </c>
      <c r="I113" s="3" t="str">
        <f>IF(DB!$H113&gt;1000,LEFT(DB!$H113,2)+1,LEFT(DB!$H113,1)+1)</f>
        <v>21</v>
      </c>
      <c r="J113" s="3" t="s">
        <v>72</v>
      </c>
      <c r="K113" s="3" t="s">
        <v>23</v>
      </c>
      <c r="L113" s="3" t="s">
        <v>24</v>
      </c>
      <c r="M113" s="3"/>
      <c r="N113" s="3">
        <v>792.0</v>
      </c>
      <c r="O113" s="5">
        <v>43831.0</v>
      </c>
      <c r="P113" s="3">
        <v>3.5</v>
      </c>
    </row>
    <row r="114" ht="14.25" customHeight="1">
      <c r="A114" s="3"/>
      <c r="B114" s="4" t="s">
        <v>242</v>
      </c>
      <c r="C114" s="4" t="s">
        <v>28</v>
      </c>
      <c r="D114" s="4" t="s">
        <v>18</v>
      </c>
      <c r="E114" s="3" t="s">
        <v>41</v>
      </c>
      <c r="F114" s="3" t="s">
        <v>42</v>
      </c>
      <c r="G114" s="3" t="s">
        <v>243</v>
      </c>
      <c r="H114" s="3">
        <v>1945.0</v>
      </c>
      <c r="I114" s="3" t="str">
        <f>IF(DB!$H114&gt;1000,LEFT(DB!$H114,2)+1,LEFT(DB!$H114,1)+1)</f>
        <v>20</v>
      </c>
      <c r="J114" s="3" t="s">
        <v>67</v>
      </c>
      <c r="K114" s="3" t="s">
        <v>23</v>
      </c>
      <c r="L114" s="3" t="s">
        <v>24</v>
      </c>
      <c r="M114" s="3"/>
      <c r="N114" s="3">
        <v>152.0</v>
      </c>
      <c r="O114" s="5">
        <v>43831.0</v>
      </c>
      <c r="P114" s="3">
        <v>5.0</v>
      </c>
    </row>
    <row r="115" ht="14.25" customHeight="1">
      <c r="A115" s="3"/>
      <c r="B115" s="4" t="s">
        <v>244</v>
      </c>
      <c r="C115" s="4" t="s">
        <v>17</v>
      </c>
      <c r="D115" s="4" t="s">
        <v>18</v>
      </c>
      <c r="E115" s="3" t="s">
        <v>36</v>
      </c>
      <c r="F115" s="3" t="s">
        <v>37</v>
      </c>
      <c r="G115" s="3" t="s">
        <v>245</v>
      </c>
      <c r="H115" s="3">
        <v>1997.0</v>
      </c>
      <c r="I115" s="3" t="str">
        <f>IF(DB!$H115&gt;1000,LEFT(DB!$H115,2)+1,LEFT(DB!$H115,1)+1)</f>
        <v>20</v>
      </c>
      <c r="J115" s="3" t="s">
        <v>246</v>
      </c>
      <c r="K115" s="3" t="s">
        <v>23</v>
      </c>
      <c r="L115" s="3" t="s">
        <v>24</v>
      </c>
      <c r="M115" s="3"/>
      <c r="N115" s="3">
        <v>128.0</v>
      </c>
      <c r="O115" s="5">
        <v>43831.0</v>
      </c>
      <c r="P115" s="3">
        <v>5.0</v>
      </c>
    </row>
    <row r="116" ht="14.25" customHeight="1">
      <c r="A116" s="3"/>
      <c r="B116" s="4" t="s">
        <v>247</v>
      </c>
      <c r="C116" s="4" t="s">
        <v>17</v>
      </c>
      <c r="D116" s="4" t="s">
        <v>18</v>
      </c>
      <c r="E116" s="3" t="s">
        <v>36</v>
      </c>
      <c r="F116" s="3" t="s">
        <v>37</v>
      </c>
      <c r="G116" s="3" t="s">
        <v>245</v>
      </c>
      <c r="H116" s="3">
        <v>1999.0</v>
      </c>
      <c r="I116" s="3" t="str">
        <f>IF(DB!$H116&gt;1000,LEFT(DB!$H116,2)+1,LEFT(DB!$H116,1)+1)</f>
        <v>20</v>
      </c>
      <c r="J116" s="3" t="s">
        <v>246</v>
      </c>
      <c r="K116" s="3" t="s">
        <v>23</v>
      </c>
      <c r="L116" s="3" t="s">
        <v>24</v>
      </c>
      <c r="M116" s="3"/>
      <c r="N116" s="3">
        <v>144.0</v>
      </c>
      <c r="O116" s="5">
        <v>43831.0</v>
      </c>
      <c r="P116" s="3">
        <v>5.0</v>
      </c>
    </row>
    <row r="117" ht="14.25" customHeight="1">
      <c r="A117" s="3"/>
      <c r="B117" s="4" t="s">
        <v>248</v>
      </c>
      <c r="C117" s="4" t="s">
        <v>17</v>
      </c>
      <c r="D117" s="4" t="s">
        <v>18</v>
      </c>
      <c r="E117" s="3" t="s">
        <v>36</v>
      </c>
      <c r="F117" s="3" t="s">
        <v>37</v>
      </c>
      <c r="G117" s="3" t="s">
        <v>245</v>
      </c>
      <c r="H117" s="3">
        <v>1999.0</v>
      </c>
      <c r="I117" s="3" t="str">
        <f>IF(DB!$H117&gt;1000,LEFT(DB!$H117,2)+1,LEFT(DB!$H117,1)+1)</f>
        <v>20</v>
      </c>
      <c r="J117" s="3" t="s">
        <v>246</v>
      </c>
      <c r="K117" s="3" t="s">
        <v>23</v>
      </c>
      <c r="L117" s="3" t="s">
        <v>24</v>
      </c>
      <c r="M117" s="3"/>
      <c r="N117" s="3">
        <v>144.0</v>
      </c>
      <c r="O117" s="5">
        <v>43831.0</v>
      </c>
      <c r="P117" s="3">
        <v>5.0</v>
      </c>
    </row>
    <row r="118" ht="14.25" customHeight="1">
      <c r="A118" s="3"/>
      <c r="B118" s="4" t="s">
        <v>249</v>
      </c>
      <c r="C118" s="4" t="s">
        <v>17</v>
      </c>
      <c r="D118" s="4" t="s">
        <v>18</v>
      </c>
      <c r="E118" s="3" t="s">
        <v>36</v>
      </c>
      <c r="F118" s="3" t="s">
        <v>37</v>
      </c>
      <c r="G118" s="3" t="s">
        <v>245</v>
      </c>
      <c r="H118" s="3">
        <v>2000.0</v>
      </c>
      <c r="I118" s="3" t="str">
        <f>IF(DB!$H118&gt;1000,LEFT(DB!$H118,2)+1,LEFT(DB!$H118,1)+1)</f>
        <v>21</v>
      </c>
      <c r="J118" s="3" t="s">
        <v>246</v>
      </c>
      <c r="K118" s="3" t="s">
        <v>23</v>
      </c>
      <c r="L118" s="3" t="s">
        <v>24</v>
      </c>
      <c r="M118" s="3"/>
      <c r="N118" s="3">
        <v>153.0</v>
      </c>
      <c r="O118" s="5">
        <v>43831.0</v>
      </c>
      <c r="P118" s="3">
        <v>5.0</v>
      </c>
    </row>
    <row r="119" ht="14.25" customHeight="1">
      <c r="A119" s="3"/>
      <c r="B119" s="4" t="s">
        <v>250</v>
      </c>
      <c r="C119" s="4" t="s">
        <v>17</v>
      </c>
      <c r="D119" s="4" t="s">
        <v>18</v>
      </c>
      <c r="E119" s="3" t="s">
        <v>36</v>
      </c>
      <c r="F119" s="3" t="s">
        <v>37</v>
      </c>
      <c r="G119" s="3" t="s">
        <v>245</v>
      </c>
      <c r="H119" s="3">
        <v>2001.0</v>
      </c>
      <c r="I119" s="3" t="str">
        <f>IF(DB!$H119&gt;1000,LEFT(DB!$H119,2)+1,LEFT(DB!$H119,1)+1)</f>
        <v>21</v>
      </c>
      <c r="J119" s="3" t="s">
        <v>246</v>
      </c>
      <c r="K119" s="3" t="s">
        <v>23</v>
      </c>
      <c r="L119" s="3" t="s">
        <v>24</v>
      </c>
      <c r="M119" s="3"/>
      <c r="N119" s="3">
        <v>176.0</v>
      </c>
      <c r="O119" s="5">
        <v>43831.0</v>
      </c>
      <c r="P119" s="3">
        <v>5.0</v>
      </c>
    </row>
    <row r="120" ht="14.25" customHeight="1">
      <c r="A120" s="3"/>
      <c r="B120" s="4" t="s">
        <v>251</v>
      </c>
      <c r="C120" s="4" t="s">
        <v>17</v>
      </c>
      <c r="D120" s="4" t="s">
        <v>18</v>
      </c>
      <c r="E120" s="3" t="s">
        <v>36</v>
      </c>
      <c r="F120" s="3" t="s">
        <v>37</v>
      </c>
      <c r="G120" s="3" t="s">
        <v>245</v>
      </c>
      <c r="H120" s="3">
        <v>2003.0</v>
      </c>
      <c r="I120" s="3" t="str">
        <f>IF(DB!$H120&gt;1000,LEFT(DB!$H120,2)+1,LEFT(DB!$H120,1)+1)</f>
        <v>21</v>
      </c>
      <c r="J120" s="3" t="s">
        <v>246</v>
      </c>
      <c r="K120" s="3" t="s">
        <v>23</v>
      </c>
      <c r="L120" s="3" t="s">
        <v>24</v>
      </c>
      <c r="M120" s="3"/>
      <c r="N120" s="3">
        <v>176.0</v>
      </c>
      <c r="O120" s="5">
        <v>43831.0</v>
      </c>
      <c r="P120" s="3">
        <v>5.0</v>
      </c>
    </row>
    <row r="121" ht="14.25" customHeight="1">
      <c r="A121" s="3"/>
      <c r="B121" s="4" t="s">
        <v>252</v>
      </c>
      <c r="C121" s="4" t="s">
        <v>17</v>
      </c>
      <c r="D121" s="4" t="s">
        <v>18</v>
      </c>
      <c r="E121" s="3" t="s">
        <v>36</v>
      </c>
      <c r="F121" s="3" t="s">
        <v>37</v>
      </c>
      <c r="G121" s="3" t="s">
        <v>245</v>
      </c>
      <c r="H121" s="3">
        <v>2003.0</v>
      </c>
      <c r="I121" s="3" t="str">
        <f>IF(DB!$H121&gt;1000,LEFT(DB!$H121,2)+1,LEFT(DB!$H121,1)+1)</f>
        <v>21</v>
      </c>
      <c r="J121" s="3" t="s">
        <v>246</v>
      </c>
      <c r="K121" s="3" t="s">
        <v>23</v>
      </c>
      <c r="L121" s="3" t="s">
        <v>24</v>
      </c>
      <c r="M121" s="3"/>
      <c r="N121" s="3">
        <v>176.0</v>
      </c>
      <c r="O121" s="5">
        <v>43831.0</v>
      </c>
      <c r="P121" s="3">
        <v>5.0</v>
      </c>
    </row>
    <row r="122" ht="14.25" customHeight="1">
      <c r="A122" s="3"/>
      <c r="B122" s="4" t="s">
        <v>253</v>
      </c>
      <c r="C122" s="4" t="s">
        <v>28</v>
      </c>
      <c r="D122" s="4" t="s">
        <v>18</v>
      </c>
      <c r="E122" s="3" t="s">
        <v>41</v>
      </c>
      <c r="F122" s="3" t="s">
        <v>42</v>
      </c>
      <c r="G122" s="3" t="s">
        <v>254</v>
      </c>
      <c r="H122" s="3">
        <v>1932.0</v>
      </c>
      <c r="I122" s="3" t="str">
        <f>IF(DB!$H122&gt;1000,LEFT(DB!$H122,2)+1,LEFT(DB!$H122,1)+1)</f>
        <v>20</v>
      </c>
      <c r="J122" s="3" t="s">
        <v>207</v>
      </c>
      <c r="K122" s="3" t="s">
        <v>23</v>
      </c>
      <c r="L122" s="3" t="s">
        <v>24</v>
      </c>
      <c r="M122" s="3"/>
      <c r="N122" s="3">
        <v>312.0</v>
      </c>
      <c r="O122" s="5">
        <v>43831.0</v>
      </c>
      <c r="P122" s="3">
        <v>4.5</v>
      </c>
    </row>
    <row r="123" ht="14.25" customHeight="1">
      <c r="A123" s="3"/>
      <c r="B123" s="4" t="s">
        <v>255</v>
      </c>
      <c r="C123" s="4" t="s">
        <v>17</v>
      </c>
      <c r="D123" s="4" t="s">
        <v>18</v>
      </c>
      <c r="E123" s="3" t="s">
        <v>55</v>
      </c>
      <c r="F123" s="3" t="s">
        <v>42</v>
      </c>
      <c r="G123" s="3" t="s">
        <v>256</v>
      </c>
      <c r="H123" s="3">
        <v>2006.0</v>
      </c>
      <c r="I123" s="3" t="str">
        <f>IF(DB!$H123&gt;1000,LEFT(DB!$H123,2)+1,LEFT(DB!$H123,1)+1)</f>
        <v>21</v>
      </c>
      <c r="J123" s="3" t="s">
        <v>72</v>
      </c>
      <c r="K123" s="3" t="s">
        <v>33</v>
      </c>
      <c r="L123" s="3" t="s">
        <v>24</v>
      </c>
      <c r="M123" s="3"/>
      <c r="N123" s="3">
        <v>443.0</v>
      </c>
      <c r="O123" s="5">
        <v>43831.0</v>
      </c>
      <c r="P123" s="3">
        <v>3.5</v>
      </c>
    </row>
    <row r="124" ht="14.25" customHeight="1">
      <c r="A124" s="3"/>
      <c r="B124" s="4" t="s">
        <v>257</v>
      </c>
      <c r="C124" s="4" t="s">
        <v>17</v>
      </c>
      <c r="D124" s="4" t="s">
        <v>18</v>
      </c>
      <c r="E124" s="3" t="s">
        <v>258</v>
      </c>
      <c r="F124" s="3" t="s">
        <v>259</v>
      </c>
      <c r="G124" s="3" t="s">
        <v>260</v>
      </c>
      <c r="H124" s="3">
        <v>2002.0</v>
      </c>
      <c r="I124" s="3" t="str">
        <f>IF(DB!$H124&gt;1000,LEFT(DB!$H124,2)+1,LEFT(DB!$H124,1)+1)</f>
        <v>21</v>
      </c>
      <c r="J124" s="3" t="s">
        <v>261</v>
      </c>
      <c r="K124" s="3" t="s">
        <v>33</v>
      </c>
      <c r="L124" s="3" t="s">
        <v>24</v>
      </c>
      <c r="M124" s="3"/>
      <c r="N124" s="3">
        <v>128.0</v>
      </c>
      <c r="O124" s="5">
        <v>43831.0</v>
      </c>
      <c r="P124" s="3">
        <v>3.5</v>
      </c>
    </row>
    <row r="125" ht="14.25" customHeight="1">
      <c r="A125" s="3"/>
      <c r="B125" s="4" t="s">
        <v>262</v>
      </c>
      <c r="C125" s="4" t="s">
        <v>17</v>
      </c>
      <c r="D125" s="4" t="s">
        <v>18</v>
      </c>
      <c r="E125" s="3" t="s">
        <v>258</v>
      </c>
      <c r="F125" s="3" t="s">
        <v>259</v>
      </c>
      <c r="G125" s="3" t="s">
        <v>260</v>
      </c>
      <c r="H125" s="3">
        <v>2000.0</v>
      </c>
      <c r="I125" s="3" t="str">
        <f>IF(DB!$H125&gt;1000,LEFT(DB!$H125,2)+1,LEFT(DB!$H125,1)+1)</f>
        <v>21</v>
      </c>
      <c r="J125" s="3" t="s">
        <v>261</v>
      </c>
      <c r="K125" s="3" t="s">
        <v>33</v>
      </c>
      <c r="L125" s="3" t="s">
        <v>24</v>
      </c>
      <c r="M125" s="3"/>
      <c r="N125" s="3">
        <v>112.0</v>
      </c>
      <c r="O125" s="5">
        <v>43831.0</v>
      </c>
      <c r="P125" s="3">
        <v>3.5</v>
      </c>
    </row>
    <row r="126" ht="14.25" customHeight="1">
      <c r="A126" s="3"/>
      <c r="B126" s="4" t="s">
        <v>263</v>
      </c>
      <c r="C126" s="4" t="s">
        <v>17</v>
      </c>
      <c r="D126" s="4" t="s">
        <v>18</v>
      </c>
      <c r="E126" s="3" t="s">
        <v>258</v>
      </c>
      <c r="F126" s="3" t="s">
        <v>259</v>
      </c>
      <c r="G126" s="3" t="s">
        <v>260</v>
      </c>
      <c r="H126" s="3">
        <v>2002.0</v>
      </c>
      <c r="I126" s="3" t="str">
        <f>IF(DB!$H126&gt;1000,LEFT(DB!$H126,2)+1,LEFT(DB!$H126,1)+1)</f>
        <v>21</v>
      </c>
      <c r="J126" s="3" t="s">
        <v>261</v>
      </c>
      <c r="K126" s="3" t="s">
        <v>33</v>
      </c>
      <c r="L126" s="3" t="s">
        <v>24</v>
      </c>
      <c r="M126" s="3"/>
      <c r="N126" s="3">
        <v>120.0</v>
      </c>
      <c r="O126" s="5">
        <v>43831.0</v>
      </c>
      <c r="P126" s="3">
        <v>3.5</v>
      </c>
    </row>
    <row r="127" ht="14.25" customHeight="1">
      <c r="A127" s="3"/>
      <c r="B127" s="4" t="s">
        <v>264</v>
      </c>
      <c r="C127" s="4" t="s">
        <v>17</v>
      </c>
      <c r="D127" s="4" t="s">
        <v>18</v>
      </c>
      <c r="E127" s="3" t="s">
        <v>258</v>
      </c>
      <c r="F127" s="3" t="s">
        <v>259</v>
      </c>
      <c r="G127" s="3" t="s">
        <v>260</v>
      </c>
      <c r="H127" s="3">
        <v>2004.0</v>
      </c>
      <c r="I127" s="3" t="str">
        <f>IF(DB!$H127&gt;1000,LEFT(DB!$H127,2)+1,LEFT(DB!$H127,1)+1)</f>
        <v>21</v>
      </c>
      <c r="J127" s="3" t="s">
        <v>261</v>
      </c>
      <c r="K127" s="3" t="s">
        <v>33</v>
      </c>
      <c r="L127" s="3" t="s">
        <v>24</v>
      </c>
      <c r="M127" s="3"/>
      <c r="N127" s="3">
        <v>160.0</v>
      </c>
      <c r="O127" s="5">
        <v>43831.0</v>
      </c>
      <c r="P127" s="3">
        <v>3.5</v>
      </c>
    </row>
    <row r="128" ht="14.25" customHeight="1">
      <c r="A128" s="3"/>
      <c r="B128" s="4" t="s">
        <v>265</v>
      </c>
      <c r="C128" s="4" t="s">
        <v>17</v>
      </c>
      <c r="D128" s="4" t="s">
        <v>18</v>
      </c>
      <c r="E128" s="3" t="s">
        <v>258</v>
      </c>
      <c r="F128" s="3" t="s">
        <v>259</v>
      </c>
      <c r="G128" s="3" t="s">
        <v>260</v>
      </c>
      <c r="H128" s="3">
        <v>2004.0</v>
      </c>
      <c r="I128" s="3" t="str">
        <f>IF(DB!$H128&gt;1000,LEFT(DB!$H128,2)+1,LEFT(DB!$H128,1)+1)</f>
        <v>21</v>
      </c>
      <c r="J128" s="3" t="s">
        <v>261</v>
      </c>
      <c r="K128" s="3" t="s">
        <v>33</v>
      </c>
      <c r="L128" s="3" t="s">
        <v>24</v>
      </c>
      <c r="M128" s="3"/>
      <c r="N128" s="3">
        <v>168.0</v>
      </c>
      <c r="O128" s="5">
        <v>43831.0</v>
      </c>
      <c r="P128" s="3">
        <v>3.5</v>
      </c>
    </row>
    <row r="129" ht="14.25" customHeight="1">
      <c r="A129" s="3"/>
      <c r="B129" s="4" t="s">
        <v>266</v>
      </c>
      <c r="C129" s="4" t="s">
        <v>17</v>
      </c>
      <c r="D129" s="4" t="s">
        <v>18</v>
      </c>
      <c r="E129" s="3" t="s">
        <v>258</v>
      </c>
      <c r="F129" s="3" t="s">
        <v>259</v>
      </c>
      <c r="G129" s="3" t="s">
        <v>260</v>
      </c>
      <c r="H129" s="3">
        <v>2000.0</v>
      </c>
      <c r="I129" s="3" t="str">
        <f>IF(DB!$H129&gt;1000,LEFT(DB!$H129,2)+1,LEFT(DB!$H129,1)+1)</f>
        <v>21</v>
      </c>
      <c r="J129" s="3" t="s">
        <v>261</v>
      </c>
      <c r="K129" s="3" t="s">
        <v>33</v>
      </c>
      <c r="L129" s="3" t="s">
        <v>24</v>
      </c>
      <c r="M129" s="3"/>
      <c r="N129" s="3">
        <v>112.0</v>
      </c>
      <c r="O129" s="5">
        <v>43831.0</v>
      </c>
      <c r="P129" s="3">
        <v>4.0</v>
      </c>
    </row>
    <row r="130" ht="14.25" customHeight="1">
      <c r="A130" s="3"/>
      <c r="B130" s="4" t="s">
        <v>267</v>
      </c>
      <c r="C130" s="4" t="s">
        <v>17</v>
      </c>
      <c r="D130" s="4" t="s">
        <v>18</v>
      </c>
      <c r="E130" s="3" t="s">
        <v>258</v>
      </c>
      <c r="F130" s="3" t="s">
        <v>259</v>
      </c>
      <c r="G130" s="3" t="s">
        <v>260</v>
      </c>
      <c r="H130" s="3">
        <v>2002.0</v>
      </c>
      <c r="I130" s="3" t="str">
        <f>IF(DB!$H130&gt;1000,LEFT(DB!$H130,2)+1,LEFT(DB!$H130,1)+1)</f>
        <v>21</v>
      </c>
      <c r="J130" s="3" t="s">
        <v>261</v>
      </c>
      <c r="K130" s="3" t="s">
        <v>33</v>
      </c>
      <c r="L130" s="3" t="s">
        <v>24</v>
      </c>
      <c r="M130" s="3"/>
      <c r="N130" s="3">
        <v>128.0</v>
      </c>
      <c r="O130" s="5">
        <v>43831.0</v>
      </c>
      <c r="P130" s="3">
        <v>3.5</v>
      </c>
    </row>
    <row r="131" ht="14.25" customHeight="1">
      <c r="A131" s="3"/>
      <c r="B131" s="4" t="s">
        <v>268</v>
      </c>
      <c r="C131" s="4" t="s">
        <v>17</v>
      </c>
      <c r="D131" s="4" t="s">
        <v>18</v>
      </c>
      <c r="E131" s="3" t="s">
        <v>258</v>
      </c>
      <c r="F131" s="3" t="s">
        <v>259</v>
      </c>
      <c r="G131" s="3" t="s">
        <v>260</v>
      </c>
      <c r="H131" s="3">
        <v>2000.0</v>
      </c>
      <c r="I131" s="3" t="str">
        <f>IF(DB!$H131&gt;1000,LEFT(DB!$H131,2)+1,LEFT(DB!$H131,1)+1)</f>
        <v>21</v>
      </c>
      <c r="J131" s="3" t="s">
        <v>261</v>
      </c>
      <c r="K131" s="3" t="s">
        <v>33</v>
      </c>
      <c r="L131" s="3" t="s">
        <v>24</v>
      </c>
      <c r="M131" s="3"/>
      <c r="N131" s="3">
        <v>112.0</v>
      </c>
      <c r="O131" s="5">
        <v>43831.0</v>
      </c>
      <c r="P131" s="3">
        <v>4.0</v>
      </c>
    </row>
    <row r="132" ht="14.25" customHeight="1">
      <c r="A132" s="3"/>
      <c r="B132" s="4" t="s">
        <v>269</v>
      </c>
      <c r="C132" s="4" t="s">
        <v>17</v>
      </c>
      <c r="D132" s="4" t="s">
        <v>18</v>
      </c>
      <c r="E132" s="3" t="s">
        <v>258</v>
      </c>
      <c r="F132" s="3" t="s">
        <v>259</v>
      </c>
      <c r="G132" s="3" t="s">
        <v>260</v>
      </c>
      <c r="H132" s="3">
        <v>2000.0</v>
      </c>
      <c r="I132" s="3" t="str">
        <f>IF(DB!$H132&gt;1000,LEFT(DB!$H132,2)+1,LEFT(DB!$H132,1)+1)</f>
        <v>21</v>
      </c>
      <c r="J132" s="3" t="s">
        <v>261</v>
      </c>
      <c r="K132" s="3" t="s">
        <v>33</v>
      </c>
      <c r="L132" s="3" t="s">
        <v>24</v>
      </c>
      <c r="M132" s="3"/>
      <c r="N132" s="3">
        <v>104.0</v>
      </c>
      <c r="O132" s="5">
        <v>43831.0</v>
      </c>
      <c r="P132" s="3">
        <v>5.0</v>
      </c>
    </row>
    <row r="133" ht="14.25" customHeight="1">
      <c r="A133" s="3"/>
      <c r="B133" s="4" t="s">
        <v>270</v>
      </c>
      <c r="C133" s="4" t="s">
        <v>17</v>
      </c>
      <c r="D133" s="4" t="s">
        <v>18</v>
      </c>
      <c r="E133" s="3" t="s">
        <v>258</v>
      </c>
      <c r="F133" s="3" t="s">
        <v>259</v>
      </c>
      <c r="G133" s="3" t="s">
        <v>260</v>
      </c>
      <c r="H133" s="3">
        <v>2001.0</v>
      </c>
      <c r="I133" s="3" t="str">
        <f>IF(DB!$H133&gt;1000,LEFT(DB!$H133,2)+1,LEFT(DB!$H133,1)+1)</f>
        <v>21</v>
      </c>
      <c r="J133" s="3" t="s">
        <v>261</v>
      </c>
      <c r="K133" s="3" t="s">
        <v>33</v>
      </c>
      <c r="L133" s="3" t="s">
        <v>24</v>
      </c>
      <c r="M133" s="3"/>
      <c r="N133" s="3">
        <v>104.0</v>
      </c>
      <c r="O133" s="5">
        <v>43831.0</v>
      </c>
      <c r="P133" s="3">
        <v>4.0</v>
      </c>
    </row>
    <row r="134" ht="14.25" customHeight="1">
      <c r="A134" s="3"/>
      <c r="B134" s="4" t="s">
        <v>271</v>
      </c>
      <c r="C134" s="4" t="s">
        <v>17</v>
      </c>
      <c r="D134" s="4" t="s">
        <v>18</v>
      </c>
      <c r="E134" s="3" t="s">
        <v>258</v>
      </c>
      <c r="F134" s="3" t="s">
        <v>259</v>
      </c>
      <c r="G134" s="3" t="s">
        <v>260</v>
      </c>
      <c r="H134" s="3">
        <v>2000.0</v>
      </c>
      <c r="I134" s="3" t="str">
        <f>IF(DB!$H134&gt;1000,LEFT(DB!$H134,2)+1,LEFT(DB!$H134,1)+1)</f>
        <v>21</v>
      </c>
      <c r="J134" s="3" t="s">
        <v>261</v>
      </c>
      <c r="K134" s="3" t="s">
        <v>33</v>
      </c>
      <c r="L134" s="3" t="s">
        <v>24</v>
      </c>
      <c r="M134" s="3"/>
      <c r="N134" s="3">
        <v>104.0</v>
      </c>
      <c r="O134" s="5">
        <v>43831.0</v>
      </c>
      <c r="P134" s="3">
        <v>4.0</v>
      </c>
    </row>
    <row r="135" ht="14.25" customHeight="1">
      <c r="A135" s="3"/>
      <c r="B135" s="4" t="s">
        <v>272</v>
      </c>
      <c r="C135" s="4" t="s">
        <v>17</v>
      </c>
      <c r="D135" s="4" t="s">
        <v>18</v>
      </c>
      <c r="E135" s="3" t="s">
        <v>258</v>
      </c>
      <c r="F135" s="3" t="s">
        <v>259</v>
      </c>
      <c r="G135" s="3" t="s">
        <v>260</v>
      </c>
      <c r="H135" s="3">
        <v>2003.0</v>
      </c>
      <c r="I135" s="3" t="str">
        <f>IF(DB!$H135&gt;1000,LEFT(DB!$H135,2)+1,LEFT(DB!$H135,1)+1)</f>
        <v>21</v>
      </c>
      <c r="J135" s="3" t="s">
        <v>261</v>
      </c>
      <c r="K135" s="3" t="s">
        <v>33</v>
      </c>
      <c r="L135" s="3" t="s">
        <v>24</v>
      </c>
      <c r="M135" s="3"/>
      <c r="N135" s="3">
        <v>144.0</v>
      </c>
      <c r="O135" s="5">
        <v>43831.0</v>
      </c>
      <c r="P135" s="3">
        <v>3.5</v>
      </c>
    </row>
    <row r="136" ht="14.25" customHeight="1">
      <c r="A136" s="3"/>
      <c r="B136" s="4" t="s">
        <v>273</v>
      </c>
      <c r="C136" s="4" t="s">
        <v>17</v>
      </c>
      <c r="D136" s="4" t="s">
        <v>18</v>
      </c>
      <c r="E136" s="3" t="s">
        <v>258</v>
      </c>
      <c r="F136" s="3" t="s">
        <v>259</v>
      </c>
      <c r="G136" s="3" t="s">
        <v>260</v>
      </c>
      <c r="H136" s="3">
        <v>2003.0</v>
      </c>
      <c r="I136" s="3" t="str">
        <f>IF(DB!$H136&gt;1000,LEFT(DB!$H136,2)+1,LEFT(DB!$H136,1)+1)</f>
        <v>21</v>
      </c>
      <c r="J136" s="3" t="s">
        <v>261</v>
      </c>
      <c r="K136" s="3" t="s">
        <v>33</v>
      </c>
      <c r="L136" s="3" t="s">
        <v>24</v>
      </c>
      <c r="M136" s="3"/>
      <c r="N136" s="3">
        <v>160.0</v>
      </c>
      <c r="O136" s="5">
        <v>43831.0</v>
      </c>
      <c r="P136" s="3">
        <v>3.5</v>
      </c>
    </row>
    <row r="137" ht="14.25" customHeight="1">
      <c r="A137" s="3"/>
      <c r="B137" s="4" t="s">
        <v>274</v>
      </c>
      <c r="C137" s="4" t="s">
        <v>17</v>
      </c>
      <c r="D137" s="4" t="s">
        <v>18</v>
      </c>
      <c r="E137" s="3" t="s">
        <v>258</v>
      </c>
      <c r="F137" s="3" t="s">
        <v>259</v>
      </c>
      <c r="G137" s="3" t="s">
        <v>260</v>
      </c>
      <c r="H137" s="3">
        <v>2001.0</v>
      </c>
      <c r="I137" s="3" t="str">
        <f>IF(DB!$H137&gt;1000,LEFT(DB!$H137,2)+1,LEFT(DB!$H137,1)+1)</f>
        <v>21</v>
      </c>
      <c r="J137" s="3" t="s">
        <v>261</v>
      </c>
      <c r="K137" s="3" t="s">
        <v>33</v>
      </c>
      <c r="L137" s="3" t="s">
        <v>24</v>
      </c>
      <c r="M137" s="3"/>
      <c r="N137" s="3">
        <v>112.0</v>
      </c>
      <c r="O137" s="5">
        <v>43831.0</v>
      </c>
      <c r="P137" s="3">
        <v>5.0</v>
      </c>
    </row>
    <row r="138" ht="14.25" customHeight="1">
      <c r="A138" s="3"/>
      <c r="B138" s="4" t="s">
        <v>275</v>
      </c>
      <c r="C138" s="4" t="s">
        <v>17</v>
      </c>
      <c r="D138" s="4" t="s">
        <v>18</v>
      </c>
      <c r="E138" s="3" t="s">
        <v>258</v>
      </c>
      <c r="F138" s="3" t="s">
        <v>259</v>
      </c>
      <c r="G138" s="3" t="s">
        <v>260</v>
      </c>
      <c r="H138" s="3">
        <v>2001.0</v>
      </c>
      <c r="I138" s="3" t="str">
        <f>IF(DB!$H138&gt;1000,LEFT(DB!$H138,2)+1,LEFT(DB!$H138,1)+1)</f>
        <v>21</v>
      </c>
      <c r="J138" s="3" t="s">
        <v>261</v>
      </c>
      <c r="K138" s="3" t="s">
        <v>33</v>
      </c>
      <c r="L138" s="3" t="s">
        <v>24</v>
      </c>
      <c r="M138" s="3"/>
      <c r="N138" s="3">
        <v>104.0</v>
      </c>
      <c r="O138" s="5">
        <v>43831.0</v>
      </c>
      <c r="P138" s="3">
        <v>4.0</v>
      </c>
    </row>
    <row r="139" ht="14.25" customHeight="1">
      <c r="A139" s="3"/>
      <c r="B139" s="4" t="s">
        <v>276</v>
      </c>
      <c r="C139" s="4" t="s">
        <v>17</v>
      </c>
      <c r="D139" s="4" t="s">
        <v>18</v>
      </c>
      <c r="E139" s="3" t="s">
        <v>55</v>
      </c>
      <c r="F139" s="3" t="s">
        <v>42</v>
      </c>
      <c r="G139" s="3" t="s">
        <v>256</v>
      </c>
      <c r="H139" s="3">
        <v>2007.0</v>
      </c>
      <c r="I139" s="3" t="str">
        <f>IF(DB!$H139&gt;1000,LEFT(DB!$H139,2)+1,LEFT(DB!$H139,1)+1)</f>
        <v>21</v>
      </c>
      <c r="J139" s="3" t="s">
        <v>72</v>
      </c>
      <c r="K139" s="3" t="s">
        <v>33</v>
      </c>
      <c r="L139" s="3" t="s">
        <v>24</v>
      </c>
      <c r="M139" s="3"/>
      <c r="N139" s="3">
        <v>400.0</v>
      </c>
      <c r="O139" s="5">
        <v>43831.0</v>
      </c>
      <c r="P139" s="3">
        <v>3.5</v>
      </c>
    </row>
    <row r="140" ht="14.25" customHeight="1">
      <c r="A140" s="3"/>
      <c r="B140" s="4" t="s">
        <v>277</v>
      </c>
      <c r="C140" s="4" t="s">
        <v>203</v>
      </c>
      <c r="D140" s="4" t="s">
        <v>60</v>
      </c>
      <c r="E140" s="3" t="s">
        <v>19</v>
      </c>
      <c r="F140" s="3" t="s">
        <v>20</v>
      </c>
      <c r="G140" s="3" t="s">
        <v>278</v>
      </c>
      <c r="H140" s="3">
        <v>2000.0</v>
      </c>
      <c r="I140" s="3" t="str">
        <f>IF(DB!$H140&gt;1000,LEFT(DB!$H140,2)+1,LEFT(DB!$H140,1)+1)</f>
        <v>21</v>
      </c>
      <c r="J140" s="3" t="s">
        <v>279</v>
      </c>
      <c r="K140" s="3" t="s">
        <v>23</v>
      </c>
      <c r="L140" s="3" t="s">
        <v>24</v>
      </c>
      <c r="M140" s="3"/>
      <c r="N140" s="3">
        <v>168.0</v>
      </c>
      <c r="O140" s="5">
        <v>43831.0</v>
      </c>
      <c r="P140" s="3">
        <v>4.5</v>
      </c>
    </row>
    <row r="141" ht="14.25" customHeight="1">
      <c r="A141" s="3"/>
      <c r="B141" s="4" t="s">
        <v>280</v>
      </c>
      <c r="C141" s="4" t="s">
        <v>28</v>
      </c>
      <c r="D141" s="4" t="s">
        <v>18</v>
      </c>
      <c r="E141" s="3" t="s">
        <v>19</v>
      </c>
      <c r="F141" s="3" t="s">
        <v>20</v>
      </c>
      <c r="G141" s="3" t="s">
        <v>281</v>
      </c>
      <c r="H141" s="3">
        <v>1939.0</v>
      </c>
      <c r="I141" s="3" t="str">
        <f>IF(DB!$H141&gt;1000,LEFT(DB!$H141,2)+1,LEFT(DB!$H141,1)+1)</f>
        <v>20</v>
      </c>
      <c r="J141" s="3" t="s">
        <v>32</v>
      </c>
      <c r="K141" s="3" t="s">
        <v>33</v>
      </c>
      <c r="L141" s="3" t="s">
        <v>24</v>
      </c>
      <c r="M141" s="3"/>
      <c r="N141" s="3">
        <v>224.0</v>
      </c>
      <c r="O141" s="5">
        <v>43831.0</v>
      </c>
      <c r="P141" s="3">
        <v>4.0</v>
      </c>
    </row>
    <row r="142" ht="14.25" customHeight="1">
      <c r="A142" s="3"/>
      <c r="B142" s="4" t="s">
        <v>282</v>
      </c>
      <c r="C142" s="4" t="s">
        <v>28</v>
      </c>
      <c r="D142" s="4" t="s">
        <v>18</v>
      </c>
      <c r="E142" s="3" t="s">
        <v>283</v>
      </c>
      <c r="F142" s="3" t="s">
        <v>20</v>
      </c>
      <c r="G142" s="3" t="s">
        <v>284</v>
      </c>
      <c r="H142" s="3">
        <v>1967.0</v>
      </c>
      <c r="I142" s="3" t="str">
        <f>IF(DB!$H142&gt;1000,LEFT(DB!$H142,2)+1,LEFT(DB!$H142,1)+1)</f>
        <v>20</v>
      </c>
      <c r="J142" s="3" t="s">
        <v>230</v>
      </c>
      <c r="K142" s="3" t="s">
        <v>23</v>
      </c>
      <c r="L142" s="3" t="s">
        <v>24</v>
      </c>
      <c r="M142" s="3"/>
      <c r="N142" s="3">
        <v>432.0</v>
      </c>
      <c r="O142" s="5">
        <v>43831.0</v>
      </c>
      <c r="P142" s="3">
        <v>5.0</v>
      </c>
    </row>
    <row r="143" ht="14.25" customHeight="1">
      <c r="A143" s="3"/>
      <c r="B143" s="4" t="s">
        <v>285</v>
      </c>
      <c r="C143" s="4" t="s">
        <v>17</v>
      </c>
      <c r="D143" s="4" t="s">
        <v>18</v>
      </c>
      <c r="E143" s="3" t="s">
        <v>36</v>
      </c>
      <c r="F143" s="3" t="s">
        <v>37</v>
      </c>
      <c r="G143" s="3" t="s">
        <v>229</v>
      </c>
      <c r="H143" s="3">
        <v>2007.0</v>
      </c>
      <c r="I143" s="3" t="str">
        <f>IF(DB!$H143&gt;1000,LEFT(DB!$H143,2)+1,LEFT(DB!$H143,1)+1)</f>
        <v>21</v>
      </c>
      <c r="J143" s="3" t="s">
        <v>230</v>
      </c>
      <c r="K143" s="3" t="s">
        <v>33</v>
      </c>
      <c r="L143" s="3" t="s">
        <v>24</v>
      </c>
      <c r="M143" s="3"/>
      <c r="N143" s="3">
        <v>476.0</v>
      </c>
      <c r="O143" s="5">
        <v>43831.0</v>
      </c>
      <c r="P143" s="3">
        <v>3.5</v>
      </c>
    </row>
    <row r="144" ht="14.25" customHeight="1">
      <c r="A144" s="3"/>
      <c r="B144" s="4" t="s">
        <v>286</v>
      </c>
      <c r="C144" s="4" t="s">
        <v>203</v>
      </c>
      <c r="D144" s="4" t="s">
        <v>60</v>
      </c>
      <c r="E144" s="3" t="s">
        <v>19</v>
      </c>
      <c r="F144" s="3" t="s">
        <v>20</v>
      </c>
      <c r="G144" s="3" t="s">
        <v>278</v>
      </c>
      <c r="H144" s="3">
        <v>2001.0</v>
      </c>
      <c r="I144" s="3" t="str">
        <f>IF(DB!$H144&gt;1000,LEFT(DB!$H144,2)+1,LEFT(DB!$H144,1)+1)</f>
        <v>21</v>
      </c>
      <c r="J144" s="3" t="s">
        <v>279</v>
      </c>
      <c r="K144" s="3" t="s">
        <v>23</v>
      </c>
      <c r="L144" s="3" t="s">
        <v>24</v>
      </c>
      <c r="M144" s="3"/>
      <c r="N144" s="3">
        <v>144.0</v>
      </c>
      <c r="O144" s="5">
        <v>43831.0</v>
      </c>
      <c r="P144" s="3">
        <v>5.0</v>
      </c>
    </row>
    <row r="145" ht="14.25" customHeight="1">
      <c r="A145" s="3"/>
      <c r="B145" s="4" t="s">
        <v>287</v>
      </c>
      <c r="C145" s="4" t="s">
        <v>17</v>
      </c>
      <c r="D145" s="4" t="s">
        <v>18</v>
      </c>
      <c r="E145" s="3" t="s">
        <v>55</v>
      </c>
      <c r="F145" s="3" t="s">
        <v>42</v>
      </c>
      <c r="G145" s="3" t="s">
        <v>256</v>
      </c>
      <c r="H145" s="3">
        <v>2004.0</v>
      </c>
      <c r="I145" s="3" t="str">
        <f>IF(DB!$H145&gt;1000,LEFT(DB!$H145,2)+1,LEFT(DB!$H145,1)+1)</f>
        <v>21</v>
      </c>
      <c r="J145" s="3" t="s">
        <v>72</v>
      </c>
      <c r="K145" s="3" t="s">
        <v>33</v>
      </c>
      <c r="L145" s="3" t="s">
        <v>24</v>
      </c>
      <c r="M145" s="3"/>
      <c r="N145" s="3">
        <v>320.0</v>
      </c>
      <c r="O145" s="5">
        <v>43831.0</v>
      </c>
      <c r="P145" s="3">
        <v>4.0</v>
      </c>
    </row>
    <row r="146" ht="14.25" customHeight="1">
      <c r="A146" s="3"/>
      <c r="B146" s="4" t="s">
        <v>288</v>
      </c>
      <c r="C146" s="4" t="s">
        <v>17</v>
      </c>
      <c r="D146" s="4" t="s">
        <v>18</v>
      </c>
      <c r="E146" s="3" t="s">
        <v>55</v>
      </c>
      <c r="F146" s="3" t="s">
        <v>42</v>
      </c>
      <c r="G146" s="3" t="s">
        <v>256</v>
      </c>
      <c r="H146" s="3">
        <v>2004.0</v>
      </c>
      <c r="I146" s="3" t="str">
        <f>IF(DB!$H146&gt;1000,LEFT(DB!$H146,2)+1,LEFT(DB!$H146,1)+1)</f>
        <v>21</v>
      </c>
      <c r="J146" s="3" t="s">
        <v>72</v>
      </c>
      <c r="K146" s="3" t="s">
        <v>33</v>
      </c>
      <c r="L146" s="3" t="s">
        <v>24</v>
      </c>
      <c r="M146" s="3"/>
      <c r="N146" s="3">
        <v>336.0</v>
      </c>
      <c r="O146" s="5">
        <v>43831.0</v>
      </c>
      <c r="P146" s="3">
        <v>4.0</v>
      </c>
    </row>
    <row r="147" ht="14.25" customHeight="1">
      <c r="A147" s="3"/>
      <c r="B147" s="4" t="s">
        <v>289</v>
      </c>
      <c r="C147" s="4" t="s">
        <v>17</v>
      </c>
      <c r="D147" s="4" t="s">
        <v>18</v>
      </c>
      <c r="E147" s="3" t="s">
        <v>55</v>
      </c>
      <c r="F147" s="3" t="s">
        <v>42</v>
      </c>
      <c r="G147" s="3" t="s">
        <v>256</v>
      </c>
      <c r="H147" s="3">
        <v>2005.0</v>
      </c>
      <c r="I147" s="3" t="str">
        <f>IF(DB!$H147&gt;1000,LEFT(DB!$H147,2)+1,LEFT(DB!$H147,1)+1)</f>
        <v>21</v>
      </c>
      <c r="J147" s="3" t="s">
        <v>72</v>
      </c>
      <c r="K147" s="3" t="s">
        <v>33</v>
      </c>
      <c r="L147" s="3" t="s">
        <v>24</v>
      </c>
      <c r="M147" s="3"/>
      <c r="N147" s="3">
        <v>424.0</v>
      </c>
      <c r="O147" s="5">
        <v>43831.0</v>
      </c>
      <c r="P147" s="3">
        <v>4.0</v>
      </c>
    </row>
    <row r="148" ht="14.25" customHeight="1">
      <c r="A148" s="3"/>
      <c r="B148" s="4" t="s">
        <v>290</v>
      </c>
      <c r="C148" s="4" t="s">
        <v>28</v>
      </c>
      <c r="D148" s="4" t="s">
        <v>18</v>
      </c>
      <c r="E148" s="3" t="s">
        <v>36</v>
      </c>
      <c r="F148" s="3" t="s">
        <v>37</v>
      </c>
      <c r="G148" s="3" t="s">
        <v>291</v>
      </c>
      <c r="H148" s="3">
        <v>2001.0</v>
      </c>
      <c r="I148" s="3" t="str">
        <f>IF(DB!$H148&gt;1000,LEFT(DB!$H148,2)+1,LEFT(DB!$H148,1)+1)</f>
        <v>21</v>
      </c>
      <c r="J148" s="3" t="s">
        <v>184</v>
      </c>
      <c r="K148" s="3" t="s">
        <v>23</v>
      </c>
      <c r="L148" s="3" t="s">
        <v>24</v>
      </c>
      <c r="M148" s="3"/>
      <c r="N148" s="3">
        <v>576.0</v>
      </c>
      <c r="O148" s="5">
        <v>43831.0</v>
      </c>
      <c r="P148" s="3">
        <v>3.0</v>
      </c>
    </row>
    <row r="149" ht="14.25" customHeight="1">
      <c r="A149" s="3"/>
      <c r="B149" s="4" t="s">
        <v>292</v>
      </c>
      <c r="C149" s="4" t="s">
        <v>17</v>
      </c>
      <c r="D149" s="4" t="s">
        <v>18</v>
      </c>
      <c r="E149" s="3" t="s">
        <v>41</v>
      </c>
      <c r="F149" s="3" t="s">
        <v>42</v>
      </c>
      <c r="G149" s="3" t="s">
        <v>293</v>
      </c>
      <c r="H149" s="3">
        <v>2013.0</v>
      </c>
      <c r="I149" s="3" t="str">
        <f>IF(DB!$H149&gt;1000,LEFT(DB!$H149,2)+1,LEFT(DB!$H149,1)+1)</f>
        <v>21</v>
      </c>
      <c r="J149" s="3" t="s">
        <v>173</v>
      </c>
      <c r="K149" s="3" t="s">
        <v>23</v>
      </c>
      <c r="L149" s="3" t="s">
        <v>24</v>
      </c>
      <c r="M149" s="3"/>
      <c r="N149" s="3">
        <v>532.0</v>
      </c>
      <c r="O149" s="5">
        <v>43831.0</v>
      </c>
      <c r="P149" s="3">
        <v>4.0</v>
      </c>
    </row>
    <row r="150" ht="14.25" customHeight="1">
      <c r="A150" s="3"/>
      <c r="B150" s="4" t="s">
        <v>294</v>
      </c>
      <c r="C150" s="4" t="s">
        <v>28</v>
      </c>
      <c r="D150" s="4" t="s">
        <v>18</v>
      </c>
      <c r="E150" s="3" t="s">
        <v>41</v>
      </c>
      <c r="F150" s="3" t="s">
        <v>42</v>
      </c>
      <c r="G150" s="3" t="s">
        <v>295</v>
      </c>
      <c r="H150" s="3">
        <v>1997.0</v>
      </c>
      <c r="I150" s="3" t="str">
        <f>IF(DB!$H150&gt;1000,LEFT(DB!$H150,2)+1,LEFT(DB!$H150,1)+1)</f>
        <v>20</v>
      </c>
      <c r="J150" s="3" t="s">
        <v>230</v>
      </c>
      <c r="K150" s="3" t="s">
        <v>23</v>
      </c>
      <c r="L150" s="3" t="s">
        <v>24</v>
      </c>
      <c r="M150" s="3"/>
      <c r="N150" s="3">
        <v>532.0</v>
      </c>
      <c r="O150" s="5">
        <v>43831.0</v>
      </c>
      <c r="P150" s="3">
        <v>4.0</v>
      </c>
    </row>
    <row r="151" ht="14.25" customHeight="1">
      <c r="A151" s="3"/>
      <c r="B151" s="4" t="s">
        <v>296</v>
      </c>
      <c r="C151" s="4" t="s">
        <v>28</v>
      </c>
      <c r="D151" s="4" t="s">
        <v>18</v>
      </c>
      <c r="E151" s="3" t="s">
        <v>41</v>
      </c>
      <c r="F151" s="3" t="s">
        <v>42</v>
      </c>
      <c r="G151" s="3" t="s">
        <v>295</v>
      </c>
      <c r="H151" s="3">
        <v>1996.0</v>
      </c>
      <c r="I151" s="3" t="str">
        <f>IF(DB!$H151&gt;1000,LEFT(DB!$H151,2)+1,LEFT(DB!$H151,1)+1)</f>
        <v>20</v>
      </c>
      <c r="J151" s="3" t="s">
        <v>230</v>
      </c>
      <c r="K151" s="3" t="s">
        <v>23</v>
      </c>
      <c r="L151" s="3" t="s">
        <v>24</v>
      </c>
      <c r="M151" s="3"/>
      <c r="N151" s="3">
        <v>518.0</v>
      </c>
      <c r="O151" s="5">
        <v>43831.0</v>
      </c>
      <c r="P151" s="3">
        <v>4.0</v>
      </c>
    </row>
    <row r="152" ht="14.25" customHeight="1">
      <c r="A152" s="3"/>
      <c r="B152" s="4" t="s">
        <v>297</v>
      </c>
      <c r="C152" s="4" t="s">
        <v>17</v>
      </c>
      <c r="D152" s="4" t="s">
        <v>18</v>
      </c>
      <c r="E152" s="3" t="s">
        <v>41</v>
      </c>
      <c r="F152" s="3" t="s">
        <v>42</v>
      </c>
      <c r="G152" s="3" t="s">
        <v>293</v>
      </c>
      <c r="H152" s="3">
        <v>2012.0</v>
      </c>
      <c r="I152" s="3" t="str">
        <f>IF(DB!$H152&gt;1000,LEFT(DB!$H152,2)+1,LEFT(DB!$H152,1)+1)</f>
        <v>21</v>
      </c>
      <c r="J152" s="3" t="s">
        <v>173</v>
      </c>
      <c r="K152" s="3" t="s">
        <v>23</v>
      </c>
      <c r="L152" s="3" t="s">
        <v>24</v>
      </c>
      <c r="M152" s="3"/>
      <c r="N152" s="3">
        <v>532.0</v>
      </c>
      <c r="O152" s="5">
        <v>43831.0</v>
      </c>
      <c r="P152" s="3">
        <v>4.0</v>
      </c>
    </row>
    <row r="153" ht="14.25" customHeight="1">
      <c r="A153" s="3"/>
      <c r="B153" s="4" t="s">
        <v>298</v>
      </c>
      <c r="C153" s="4" t="s">
        <v>28</v>
      </c>
      <c r="D153" s="4" t="s">
        <v>18</v>
      </c>
      <c r="E153" s="3" t="s">
        <v>41</v>
      </c>
      <c r="F153" s="3" t="s">
        <v>42</v>
      </c>
      <c r="G153" s="3" t="s">
        <v>299</v>
      </c>
      <c r="H153" s="3">
        <v>1962.0</v>
      </c>
      <c r="I153" s="3" t="str">
        <f>IF(DB!$H153&gt;1000,LEFT(DB!$H153,2)+1,LEFT(DB!$H153,1)+1)</f>
        <v>20</v>
      </c>
      <c r="J153" s="3" t="s">
        <v>84</v>
      </c>
      <c r="K153" s="3" t="s">
        <v>23</v>
      </c>
      <c r="L153" s="3" t="s">
        <v>24</v>
      </c>
      <c r="M153" s="3"/>
      <c r="N153" s="3">
        <v>224.0</v>
      </c>
      <c r="O153" s="5">
        <v>43831.0</v>
      </c>
      <c r="P153" s="3">
        <v>5.0</v>
      </c>
    </row>
    <row r="154" ht="14.25" customHeight="1">
      <c r="A154" s="3"/>
      <c r="B154" s="4" t="s">
        <v>300</v>
      </c>
      <c r="C154" s="4" t="s">
        <v>203</v>
      </c>
      <c r="D154" s="4" t="s">
        <v>60</v>
      </c>
      <c r="E154" s="3" t="s">
        <v>19</v>
      </c>
      <c r="F154" s="3" t="s">
        <v>20</v>
      </c>
      <c r="G154" s="3" t="s">
        <v>278</v>
      </c>
      <c r="H154" s="3">
        <v>2008.0</v>
      </c>
      <c r="I154" s="3" t="str">
        <f>IF(DB!$H154&gt;1000,LEFT(DB!$H154,2)+1,LEFT(DB!$H154,1)+1)</f>
        <v>21</v>
      </c>
      <c r="J154" s="3" t="s">
        <v>279</v>
      </c>
      <c r="K154" s="3" t="s">
        <v>23</v>
      </c>
      <c r="L154" s="3" t="s">
        <v>24</v>
      </c>
      <c r="M154" s="3"/>
      <c r="N154" s="3">
        <v>152.0</v>
      </c>
      <c r="O154" s="5">
        <v>43831.0</v>
      </c>
      <c r="P154" s="3">
        <v>4.5</v>
      </c>
    </row>
    <row r="155" ht="14.25" customHeight="1">
      <c r="A155" s="3"/>
      <c r="B155" s="4" t="s">
        <v>301</v>
      </c>
      <c r="C155" s="4" t="s">
        <v>28</v>
      </c>
      <c r="D155" s="4" t="s">
        <v>18</v>
      </c>
      <c r="E155" s="3" t="s">
        <v>19</v>
      </c>
      <c r="F155" s="3" t="s">
        <v>20</v>
      </c>
      <c r="G155" s="3" t="s">
        <v>302</v>
      </c>
      <c r="H155" s="3">
        <v>1890.0</v>
      </c>
      <c r="I155" s="3" t="str">
        <f>IF(DB!$H155&gt;1000,LEFT(DB!$H155,2)+1,LEFT(DB!$H155,1)+1)</f>
        <v>19</v>
      </c>
      <c r="J155" s="3" t="s">
        <v>303</v>
      </c>
      <c r="K155" s="3" t="s">
        <v>23</v>
      </c>
      <c r="L155" s="3" t="s">
        <v>24</v>
      </c>
      <c r="M155" s="3"/>
      <c r="N155" s="3">
        <v>72.0</v>
      </c>
      <c r="O155" s="5">
        <v>43831.0</v>
      </c>
      <c r="P155" s="3">
        <v>3.5</v>
      </c>
    </row>
    <row r="156" ht="14.25" customHeight="1">
      <c r="A156" s="3"/>
      <c r="B156" s="4" t="s">
        <v>304</v>
      </c>
      <c r="C156" s="4" t="s">
        <v>110</v>
      </c>
      <c r="D156" s="4" t="s">
        <v>305</v>
      </c>
      <c r="E156" s="3" t="s">
        <v>36</v>
      </c>
      <c r="F156" s="3" t="s">
        <v>37</v>
      </c>
      <c r="G156" s="3" t="s">
        <v>306</v>
      </c>
      <c r="H156" s="3">
        <v>2014.0</v>
      </c>
      <c r="I156" s="3" t="str">
        <f>IF(DB!$H156&gt;1000,LEFT(DB!$H156,2)+1,LEFT(DB!$H156,1)+1)</f>
        <v>21</v>
      </c>
      <c r="J156" s="3" t="s">
        <v>44</v>
      </c>
      <c r="K156" s="3" t="s">
        <v>23</v>
      </c>
      <c r="L156" s="3" t="s">
        <v>24</v>
      </c>
      <c r="M156" s="3"/>
      <c r="N156" s="3">
        <v>656.0</v>
      </c>
      <c r="O156" s="5">
        <v>43831.0</v>
      </c>
      <c r="P156" s="3">
        <v>3.0</v>
      </c>
    </row>
    <row r="157" ht="14.25" customHeight="1">
      <c r="A157" s="3"/>
      <c r="B157" s="4" t="s">
        <v>307</v>
      </c>
      <c r="C157" s="4" t="s">
        <v>28</v>
      </c>
      <c r="D157" s="4" t="s">
        <v>305</v>
      </c>
      <c r="E157" s="3" t="s">
        <v>36</v>
      </c>
      <c r="F157" s="3" t="s">
        <v>37</v>
      </c>
      <c r="G157" s="3" t="s">
        <v>306</v>
      </c>
      <c r="H157" s="3">
        <v>2007.0</v>
      </c>
      <c r="I157" s="3" t="str">
        <f>IF(DB!$H157&gt;1000,LEFT(DB!$H157,2)+1,LEFT(DB!$H157,1)+1)</f>
        <v>21</v>
      </c>
      <c r="J157" s="3" t="s">
        <v>44</v>
      </c>
      <c r="K157" s="3" t="s">
        <v>23</v>
      </c>
      <c r="L157" s="3" t="s">
        <v>24</v>
      </c>
      <c r="M157" s="3"/>
      <c r="N157" s="3">
        <v>960.0</v>
      </c>
      <c r="O157" s="5">
        <v>43831.0</v>
      </c>
      <c r="P157" s="3">
        <v>4.5</v>
      </c>
    </row>
    <row r="158" ht="14.25" customHeight="1">
      <c r="A158" s="3"/>
      <c r="B158" s="4" t="s">
        <v>308</v>
      </c>
      <c r="C158" s="4" t="s">
        <v>28</v>
      </c>
      <c r="D158" s="4" t="s">
        <v>305</v>
      </c>
      <c r="E158" s="3" t="s">
        <v>36</v>
      </c>
      <c r="F158" s="3" t="s">
        <v>37</v>
      </c>
      <c r="G158" s="3" t="s">
        <v>306</v>
      </c>
      <c r="H158" s="3">
        <v>2011.0</v>
      </c>
      <c r="I158" s="3" t="str">
        <f>IF(DB!$H158&gt;1000,LEFT(DB!$H158,2)+1,LEFT(DB!$H158,1)+1)</f>
        <v>21</v>
      </c>
      <c r="J158" s="3" t="s">
        <v>44</v>
      </c>
      <c r="K158" s="3" t="s">
        <v>23</v>
      </c>
      <c r="L158" s="3" t="s">
        <v>24</v>
      </c>
      <c r="M158" s="3"/>
      <c r="N158" s="3">
        <v>164.0</v>
      </c>
      <c r="O158" s="5">
        <v>43831.0</v>
      </c>
      <c r="P158" s="3">
        <v>4.5</v>
      </c>
    </row>
    <row r="159" ht="14.25" customHeight="1">
      <c r="A159" s="3"/>
      <c r="B159" s="4" t="s">
        <v>309</v>
      </c>
      <c r="C159" s="4" t="s">
        <v>89</v>
      </c>
      <c r="D159" s="4" t="s">
        <v>18</v>
      </c>
      <c r="E159" s="3" t="s">
        <v>310</v>
      </c>
      <c r="F159" s="3" t="s">
        <v>42</v>
      </c>
      <c r="G159" s="3" t="s">
        <v>311</v>
      </c>
      <c r="H159" s="3">
        <v>1991.0</v>
      </c>
      <c r="I159" s="3" t="str">
        <f>IF(DB!$H159&gt;1000,LEFT(DB!$H159,2)+1,LEFT(DB!$H159,1)+1)</f>
        <v>20</v>
      </c>
      <c r="J159" s="3" t="s">
        <v>67</v>
      </c>
      <c r="K159" s="3" t="s">
        <v>23</v>
      </c>
      <c r="L159" s="3" t="s">
        <v>24</v>
      </c>
      <c r="M159" s="3"/>
      <c r="N159" s="3">
        <v>560.0</v>
      </c>
      <c r="O159" s="5">
        <v>43831.0</v>
      </c>
      <c r="P159" s="3">
        <v>5.0</v>
      </c>
    </row>
    <row r="160" ht="14.25" customHeight="1">
      <c r="A160" s="3"/>
      <c r="B160" s="4" t="s">
        <v>312</v>
      </c>
      <c r="C160" s="4" t="s">
        <v>28</v>
      </c>
      <c r="D160" s="4" t="s">
        <v>18</v>
      </c>
      <c r="E160" s="3" t="s">
        <v>36</v>
      </c>
      <c r="F160" s="3" t="s">
        <v>37</v>
      </c>
      <c r="G160" s="3" t="s">
        <v>313</v>
      </c>
      <c r="H160" s="3">
        <v>1969.0</v>
      </c>
      <c r="I160" s="3" t="str">
        <f>IF(DB!$H160&gt;1000,LEFT(DB!$H160,2)+1,LEFT(DB!$H160,1)+1)</f>
        <v>20</v>
      </c>
      <c r="J160" s="3" t="s">
        <v>230</v>
      </c>
      <c r="K160" s="3" t="s">
        <v>23</v>
      </c>
      <c r="L160" s="3" t="s">
        <v>24</v>
      </c>
      <c r="M160" s="3"/>
      <c r="N160" s="3">
        <v>462.0</v>
      </c>
      <c r="O160" s="5">
        <v>43831.0</v>
      </c>
      <c r="P160" s="3">
        <v>5.0</v>
      </c>
    </row>
    <row r="161" ht="14.25" customHeight="1">
      <c r="A161" s="3"/>
      <c r="B161" s="4" t="s">
        <v>314</v>
      </c>
      <c r="C161" s="4" t="s">
        <v>28</v>
      </c>
      <c r="D161" s="4" t="s">
        <v>18</v>
      </c>
      <c r="E161" s="3" t="s">
        <v>41</v>
      </c>
      <c r="F161" s="3" t="s">
        <v>42</v>
      </c>
      <c r="G161" s="3" t="s">
        <v>295</v>
      </c>
      <c r="H161" s="3">
        <v>1994.0</v>
      </c>
      <c r="I161" s="3" t="str">
        <f>IF(DB!$H161&gt;1000,LEFT(DB!$H161,2)+1,LEFT(DB!$H161,1)+1)</f>
        <v>20</v>
      </c>
      <c r="J161" s="3" t="s">
        <v>230</v>
      </c>
      <c r="K161" s="3" t="s">
        <v>23</v>
      </c>
      <c r="L161" s="3" t="s">
        <v>24</v>
      </c>
      <c r="M161" s="3"/>
      <c r="N161" s="3">
        <v>567.0</v>
      </c>
      <c r="O161" s="5">
        <v>43831.0</v>
      </c>
      <c r="P161" s="3">
        <v>4.5</v>
      </c>
    </row>
    <row r="162" ht="14.25" customHeight="1">
      <c r="A162" s="3"/>
      <c r="B162" s="4" t="s">
        <v>315</v>
      </c>
      <c r="C162" s="4" t="s">
        <v>316</v>
      </c>
      <c r="D162" s="4" t="s">
        <v>60</v>
      </c>
      <c r="E162" s="3" t="s">
        <v>41</v>
      </c>
      <c r="F162" s="3" t="s">
        <v>42</v>
      </c>
      <c r="G162" s="3" t="s">
        <v>317</v>
      </c>
      <c r="H162" s="3">
        <v>2001.0</v>
      </c>
      <c r="I162" s="3" t="str">
        <f>IF(DB!$H162&gt;1000,LEFT(DB!$H162,2)+1,LEFT(DB!$H162,1)+1)</f>
        <v>21</v>
      </c>
      <c r="J162" s="3" t="s">
        <v>318</v>
      </c>
      <c r="K162" s="3" t="s">
        <v>23</v>
      </c>
      <c r="L162" s="3" t="s">
        <v>24</v>
      </c>
      <c r="M162" s="3"/>
      <c r="N162" s="3">
        <v>215.0</v>
      </c>
      <c r="O162" s="5">
        <v>43831.0</v>
      </c>
      <c r="P162" s="3">
        <v>5.0</v>
      </c>
    </row>
    <row r="163" ht="14.25" customHeight="1">
      <c r="A163" s="3"/>
      <c r="B163" s="4" t="s">
        <v>319</v>
      </c>
      <c r="C163" s="4" t="s">
        <v>316</v>
      </c>
      <c r="D163" s="4" t="s">
        <v>60</v>
      </c>
      <c r="E163" s="3" t="s">
        <v>36</v>
      </c>
      <c r="F163" s="3" t="s">
        <v>37</v>
      </c>
      <c r="G163" s="3" t="s">
        <v>320</v>
      </c>
      <c r="H163" s="3">
        <v>2004.0</v>
      </c>
      <c r="I163" s="3" t="str">
        <f>IF(DB!$H163&gt;1000,LEFT(DB!$H163,2)+1,LEFT(DB!$H163,1)+1)</f>
        <v>21</v>
      </c>
      <c r="J163" s="3" t="s">
        <v>321</v>
      </c>
      <c r="K163" s="3" t="s">
        <v>23</v>
      </c>
      <c r="L163" s="3" t="s">
        <v>34</v>
      </c>
      <c r="M163" s="3"/>
      <c r="N163" s="3">
        <v>384.0</v>
      </c>
      <c r="O163" s="5">
        <v>43831.0</v>
      </c>
      <c r="P163" s="3">
        <v>5.0</v>
      </c>
    </row>
    <row r="164" ht="14.25" customHeight="1">
      <c r="A164" s="3"/>
      <c r="B164" s="4" t="s">
        <v>322</v>
      </c>
      <c r="C164" s="4" t="s">
        <v>17</v>
      </c>
      <c r="D164" s="4" t="s">
        <v>18</v>
      </c>
      <c r="E164" s="3" t="s">
        <v>36</v>
      </c>
      <c r="F164" s="3" t="s">
        <v>37</v>
      </c>
      <c r="G164" s="3" t="s">
        <v>190</v>
      </c>
      <c r="H164" s="3">
        <v>2013.0</v>
      </c>
      <c r="I164" s="3" t="str">
        <f>IF(DB!$H164&gt;1000,LEFT(DB!$H164,2)+1,LEFT(DB!$H164,1)+1)</f>
        <v>21</v>
      </c>
      <c r="J164" s="3" t="s">
        <v>184</v>
      </c>
      <c r="K164" s="3" t="s">
        <v>23</v>
      </c>
      <c r="L164" s="3" t="s">
        <v>24</v>
      </c>
      <c r="M164" s="3"/>
      <c r="N164" s="3">
        <v>496.0</v>
      </c>
      <c r="O164" s="5">
        <v>43831.0</v>
      </c>
      <c r="P164" s="3">
        <v>3.5</v>
      </c>
    </row>
    <row r="165" ht="14.25" customHeight="1">
      <c r="A165" s="3"/>
      <c r="B165" s="4" t="s">
        <v>323</v>
      </c>
      <c r="C165" s="4" t="s">
        <v>17</v>
      </c>
      <c r="D165" s="4" t="s">
        <v>18</v>
      </c>
      <c r="E165" s="3" t="s">
        <v>36</v>
      </c>
      <c r="F165" s="3" t="s">
        <v>37</v>
      </c>
      <c r="G165" s="3" t="s">
        <v>190</v>
      </c>
      <c r="H165" s="3">
        <v>2012.0</v>
      </c>
      <c r="I165" s="3" t="str">
        <f>IF(DB!$H165&gt;1000,LEFT(DB!$H165,2)+1,LEFT(DB!$H165,1)+1)</f>
        <v>21</v>
      </c>
      <c r="J165" s="3" t="s">
        <v>184</v>
      </c>
      <c r="K165" s="3" t="s">
        <v>23</v>
      </c>
      <c r="L165" s="3" t="s">
        <v>24</v>
      </c>
      <c r="M165" s="3"/>
      <c r="N165" s="3">
        <v>480.0</v>
      </c>
      <c r="O165" s="5">
        <v>43831.0</v>
      </c>
      <c r="P165" s="3">
        <v>3.5</v>
      </c>
    </row>
    <row r="166" ht="14.25" customHeight="1">
      <c r="A166" s="3"/>
      <c r="B166" s="4" t="s">
        <v>324</v>
      </c>
      <c r="C166" s="4" t="s">
        <v>17</v>
      </c>
      <c r="D166" s="4" t="s">
        <v>18</v>
      </c>
      <c r="E166" s="3" t="s">
        <v>36</v>
      </c>
      <c r="F166" s="3" t="s">
        <v>37</v>
      </c>
      <c r="G166" s="3" t="s">
        <v>190</v>
      </c>
      <c r="H166" s="3">
        <v>2010.0</v>
      </c>
      <c r="I166" s="3" t="str">
        <f>IF(DB!$H166&gt;1000,LEFT(DB!$H166,2)+1,LEFT(DB!$H166,1)+1)</f>
        <v>21</v>
      </c>
      <c r="J166" s="3" t="s">
        <v>184</v>
      </c>
      <c r="K166" s="3" t="s">
        <v>23</v>
      </c>
      <c r="L166" s="3" t="s">
        <v>24</v>
      </c>
      <c r="M166" s="3"/>
      <c r="N166" s="3">
        <v>448.0</v>
      </c>
      <c r="O166" s="5">
        <v>43831.0</v>
      </c>
      <c r="P166" s="3">
        <v>3.5</v>
      </c>
    </row>
    <row r="167" ht="14.25" customHeight="1">
      <c r="A167" s="3"/>
      <c r="B167" s="4" t="s">
        <v>325</v>
      </c>
      <c r="C167" s="4" t="s">
        <v>17</v>
      </c>
      <c r="D167" s="4" t="s">
        <v>18</v>
      </c>
      <c r="E167" s="3" t="s">
        <v>36</v>
      </c>
      <c r="F167" s="3" t="s">
        <v>37</v>
      </c>
      <c r="G167" s="3" t="s">
        <v>190</v>
      </c>
      <c r="H167" s="3">
        <v>2012.0</v>
      </c>
      <c r="I167" s="3" t="str">
        <f>IF(DB!$H167&gt;1000,LEFT(DB!$H167,2)+1,LEFT(DB!$H167,1)+1)</f>
        <v>21</v>
      </c>
      <c r="J167" s="3" t="s">
        <v>184</v>
      </c>
      <c r="K167" s="3" t="s">
        <v>23</v>
      </c>
      <c r="L167" s="3" t="s">
        <v>24</v>
      </c>
      <c r="M167" s="3"/>
      <c r="N167" s="3">
        <v>352.0</v>
      </c>
      <c r="O167" s="5">
        <v>43831.0</v>
      </c>
      <c r="P167" s="3">
        <v>3.5</v>
      </c>
    </row>
    <row r="168" ht="14.25" customHeight="1">
      <c r="A168" s="3"/>
      <c r="B168" s="4" t="s">
        <v>326</v>
      </c>
      <c r="C168" s="4" t="s">
        <v>17</v>
      </c>
      <c r="D168" s="4" t="s">
        <v>18</v>
      </c>
      <c r="E168" s="3" t="s">
        <v>36</v>
      </c>
      <c r="F168" s="3" t="s">
        <v>37</v>
      </c>
      <c r="G168" s="3" t="s">
        <v>190</v>
      </c>
      <c r="H168" s="3">
        <v>2011.0</v>
      </c>
      <c r="I168" s="3" t="str">
        <f>IF(DB!$H168&gt;1000,LEFT(DB!$H168,2)+1,LEFT(DB!$H168,1)+1)</f>
        <v>21</v>
      </c>
      <c r="J168" s="3" t="s">
        <v>184</v>
      </c>
      <c r="K168" s="3" t="s">
        <v>23</v>
      </c>
      <c r="L168" s="3" t="s">
        <v>24</v>
      </c>
      <c r="M168" s="3"/>
      <c r="N168" s="3">
        <v>432.0</v>
      </c>
      <c r="O168" s="5">
        <v>43831.0</v>
      </c>
      <c r="P168" s="3">
        <v>3.5</v>
      </c>
    </row>
    <row r="169" ht="14.25" customHeight="1">
      <c r="A169" s="3"/>
      <c r="B169" s="4" t="s">
        <v>327</v>
      </c>
      <c r="C169" s="4" t="s">
        <v>17</v>
      </c>
      <c r="D169" s="4" t="s">
        <v>18</v>
      </c>
      <c r="E169" s="3" t="s">
        <v>36</v>
      </c>
      <c r="F169" s="3" t="s">
        <v>37</v>
      </c>
      <c r="G169" s="3" t="s">
        <v>190</v>
      </c>
      <c r="H169" s="3">
        <v>2010.0</v>
      </c>
      <c r="I169" s="3" t="str">
        <f>IF(DB!$H169&gt;1000,LEFT(DB!$H169,2)+1,LEFT(DB!$H169,1)+1)</f>
        <v>21</v>
      </c>
      <c r="J169" s="3" t="s">
        <v>184</v>
      </c>
      <c r="K169" s="3" t="s">
        <v>23</v>
      </c>
      <c r="L169" s="3" t="s">
        <v>24</v>
      </c>
      <c r="M169" s="3"/>
      <c r="N169" s="3">
        <v>439.0</v>
      </c>
      <c r="O169" s="5">
        <v>43831.0</v>
      </c>
      <c r="P169" s="3">
        <v>3.5</v>
      </c>
    </row>
    <row r="170" ht="14.25" customHeight="1">
      <c r="A170" s="3"/>
      <c r="B170" s="4" t="s">
        <v>328</v>
      </c>
      <c r="C170" s="4" t="s">
        <v>17</v>
      </c>
      <c r="D170" s="4" t="s">
        <v>18</v>
      </c>
      <c r="E170" s="3" t="s">
        <v>36</v>
      </c>
      <c r="F170" s="3" t="s">
        <v>37</v>
      </c>
      <c r="G170" s="3" t="s">
        <v>190</v>
      </c>
      <c r="H170" s="3">
        <v>2014.0</v>
      </c>
      <c r="I170" s="3" t="str">
        <f>IF(DB!$H170&gt;1000,LEFT(DB!$H170,2)+1,LEFT(DB!$H170,1)+1)</f>
        <v>21</v>
      </c>
      <c r="J170" s="3" t="s">
        <v>184</v>
      </c>
      <c r="K170" s="3" t="s">
        <v>23</v>
      </c>
      <c r="L170" s="3" t="s">
        <v>24</v>
      </c>
      <c r="M170" s="3"/>
      <c r="N170" s="3">
        <v>432.0</v>
      </c>
      <c r="O170" s="5">
        <v>43831.0</v>
      </c>
      <c r="P170" s="3">
        <v>3.5</v>
      </c>
    </row>
    <row r="171" ht="14.25" customHeight="1">
      <c r="A171" s="3"/>
      <c r="B171" s="4" t="s">
        <v>329</v>
      </c>
      <c r="C171" s="4" t="s">
        <v>17</v>
      </c>
      <c r="D171" s="4" t="s">
        <v>18</v>
      </c>
      <c r="E171" s="3" t="s">
        <v>36</v>
      </c>
      <c r="F171" s="3" t="s">
        <v>37</v>
      </c>
      <c r="G171" s="3" t="s">
        <v>190</v>
      </c>
      <c r="H171" s="3">
        <v>2011.0</v>
      </c>
      <c r="I171" s="3" t="str">
        <f>IF(DB!$H171&gt;1000,LEFT(DB!$H171,2)+1,LEFT(DB!$H171,1)+1)</f>
        <v>21</v>
      </c>
      <c r="J171" s="3" t="s">
        <v>184</v>
      </c>
      <c r="K171" s="3" t="s">
        <v>23</v>
      </c>
      <c r="L171" s="3" t="s">
        <v>24</v>
      </c>
      <c r="M171" s="3"/>
      <c r="N171" s="3">
        <v>398.0</v>
      </c>
      <c r="O171" s="5">
        <v>43831.0</v>
      </c>
      <c r="P171" s="3">
        <v>3.5</v>
      </c>
    </row>
    <row r="172" ht="14.25" customHeight="1">
      <c r="A172" s="3"/>
      <c r="B172" s="4" t="s">
        <v>330</v>
      </c>
      <c r="C172" s="4" t="s">
        <v>17</v>
      </c>
      <c r="D172" s="4" t="s">
        <v>18</v>
      </c>
      <c r="E172" s="3" t="s">
        <v>36</v>
      </c>
      <c r="F172" s="3" t="s">
        <v>37</v>
      </c>
      <c r="G172" s="3" t="s">
        <v>331</v>
      </c>
      <c r="H172" s="3">
        <v>1995.0</v>
      </c>
      <c r="I172" s="3" t="str">
        <f>IF(DB!$H172&gt;1000,LEFT(DB!$H172,2)+1,LEFT(DB!$H172,1)+1)</f>
        <v>20</v>
      </c>
      <c r="J172" s="3" t="s">
        <v>100</v>
      </c>
      <c r="K172" s="3" t="s">
        <v>33</v>
      </c>
      <c r="L172" s="3" t="s">
        <v>24</v>
      </c>
      <c r="M172" s="3"/>
      <c r="N172" s="3">
        <v>416.0</v>
      </c>
      <c r="O172" s="5">
        <v>43831.0</v>
      </c>
      <c r="P172" s="3">
        <v>3.5</v>
      </c>
    </row>
    <row r="173" ht="14.25" customHeight="1">
      <c r="A173" s="3"/>
      <c r="B173" s="4" t="s">
        <v>332</v>
      </c>
      <c r="C173" s="4" t="s">
        <v>17</v>
      </c>
      <c r="D173" s="4" t="s">
        <v>18</v>
      </c>
      <c r="E173" s="3" t="s">
        <v>36</v>
      </c>
      <c r="F173" s="3" t="s">
        <v>37</v>
      </c>
      <c r="G173" s="3" t="s">
        <v>331</v>
      </c>
      <c r="H173" s="3">
        <v>1996.0</v>
      </c>
      <c r="I173" s="3" t="str">
        <f>IF(DB!$H173&gt;1000,LEFT(DB!$H173,2)+1,LEFT(DB!$H173,1)+1)</f>
        <v>20</v>
      </c>
      <c r="J173" s="3" t="s">
        <v>100</v>
      </c>
      <c r="K173" s="3" t="s">
        <v>33</v>
      </c>
      <c r="L173" s="3" t="s">
        <v>24</v>
      </c>
      <c r="M173" s="3"/>
      <c r="N173" s="3">
        <v>736.0</v>
      </c>
      <c r="O173" s="5">
        <v>43831.0</v>
      </c>
      <c r="P173" s="3">
        <v>3.5</v>
      </c>
    </row>
    <row r="174" ht="14.25" customHeight="1">
      <c r="A174" s="3"/>
      <c r="B174" s="4" t="s">
        <v>333</v>
      </c>
      <c r="C174" s="4" t="s">
        <v>110</v>
      </c>
      <c r="D174" s="4" t="s">
        <v>18</v>
      </c>
      <c r="E174" s="3" t="s">
        <v>41</v>
      </c>
      <c r="F174" s="3" t="s">
        <v>42</v>
      </c>
      <c r="G174" s="3" t="s">
        <v>127</v>
      </c>
      <c r="H174" s="3">
        <v>2008.0</v>
      </c>
      <c r="I174" s="3" t="str">
        <f>IF(DB!$H174&gt;1000,LEFT(DB!$H174,2)+1,LEFT(DB!$H174,1)+1)</f>
        <v>21</v>
      </c>
      <c r="J174" s="3" t="s">
        <v>72</v>
      </c>
      <c r="K174" s="3" t="s">
        <v>33</v>
      </c>
      <c r="L174" s="3" t="s">
        <v>24</v>
      </c>
      <c r="M174" s="3"/>
      <c r="N174" s="3">
        <v>128.0</v>
      </c>
      <c r="O174" s="5">
        <v>43831.0</v>
      </c>
      <c r="P174" s="3">
        <v>3.5</v>
      </c>
    </row>
    <row r="175" ht="14.25" customHeight="1">
      <c r="A175" s="3"/>
      <c r="B175" s="4" t="s">
        <v>334</v>
      </c>
      <c r="C175" s="4" t="s">
        <v>17</v>
      </c>
      <c r="D175" s="4" t="s">
        <v>18</v>
      </c>
      <c r="E175" s="3" t="s">
        <v>41</v>
      </c>
      <c r="F175" s="3" t="s">
        <v>42</v>
      </c>
      <c r="G175" s="3" t="s">
        <v>293</v>
      </c>
      <c r="H175" s="3">
        <v>2011.0</v>
      </c>
      <c r="I175" s="3" t="str">
        <f>IF(DB!$H175&gt;1000,LEFT(DB!$H175,2)+1,LEFT(DB!$H175,1)+1)</f>
        <v>21</v>
      </c>
      <c r="J175" s="3" t="s">
        <v>173</v>
      </c>
      <c r="K175" s="3" t="s">
        <v>23</v>
      </c>
      <c r="L175" s="3" t="s">
        <v>24</v>
      </c>
      <c r="M175" s="3"/>
      <c r="N175" s="3">
        <v>364.0</v>
      </c>
      <c r="O175" s="5">
        <v>43831.0</v>
      </c>
      <c r="P175" s="3">
        <v>4.5</v>
      </c>
    </row>
    <row r="176" ht="14.25" customHeight="1">
      <c r="A176" s="3"/>
      <c r="B176" s="4" t="s">
        <v>335</v>
      </c>
      <c r="C176" s="4" t="s">
        <v>28</v>
      </c>
      <c r="D176" s="4" t="s">
        <v>18</v>
      </c>
      <c r="E176" s="3" t="s">
        <v>41</v>
      </c>
      <c r="F176" s="3" t="s">
        <v>42</v>
      </c>
      <c r="G176" s="3" t="s">
        <v>336</v>
      </c>
      <c r="H176" s="3">
        <v>1954.0</v>
      </c>
      <c r="I176" s="3" t="str">
        <f>IF(DB!$H176&gt;1000,LEFT(DB!$H176,2)+1,LEFT(DB!$H176,1)+1)</f>
        <v>20</v>
      </c>
      <c r="J176" s="3" t="s">
        <v>57</v>
      </c>
      <c r="K176" s="3" t="s">
        <v>23</v>
      </c>
      <c r="L176" s="3" t="s">
        <v>24</v>
      </c>
      <c r="M176" s="3"/>
      <c r="N176" s="3">
        <v>258.0</v>
      </c>
      <c r="O176" s="5">
        <v>43831.0</v>
      </c>
      <c r="P176" s="3">
        <v>5.0</v>
      </c>
    </row>
    <row r="177" ht="14.25" customHeight="1">
      <c r="A177" s="3"/>
      <c r="B177" s="4" t="s">
        <v>337</v>
      </c>
      <c r="C177" s="4" t="s">
        <v>28</v>
      </c>
      <c r="D177" s="4" t="s">
        <v>18</v>
      </c>
      <c r="E177" s="3" t="s">
        <v>41</v>
      </c>
      <c r="F177" s="3" t="s">
        <v>42</v>
      </c>
      <c r="G177" s="3" t="s">
        <v>338</v>
      </c>
      <c r="H177" s="3">
        <v>1954.0</v>
      </c>
      <c r="I177" s="3" t="str">
        <f>IF(DB!$H177&gt;1000,LEFT(DB!$H177,2)+1,LEFT(DB!$H177,1)+1)</f>
        <v>20</v>
      </c>
      <c r="J177" s="3" t="s">
        <v>76</v>
      </c>
      <c r="K177" s="3" t="s">
        <v>23</v>
      </c>
      <c r="L177" s="3" t="s">
        <v>24</v>
      </c>
      <c r="M177" s="3"/>
      <c r="N177" s="3">
        <v>434.0</v>
      </c>
      <c r="O177" s="5">
        <v>43831.0</v>
      </c>
      <c r="P177" s="3">
        <v>4.0</v>
      </c>
    </row>
    <row r="178" ht="14.25" customHeight="1">
      <c r="A178" s="3"/>
      <c r="B178" s="4" t="s">
        <v>339</v>
      </c>
      <c r="C178" s="4" t="s">
        <v>28</v>
      </c>
      <c r="D178" s="4" t="s">
        <v>18</v>
      </c>
      <c r="E178" s="3" t="s">
        <v>41</v>
      </c>
      <c r="F178" s="3" t="s">
        <v>42</v>
      </c>
      <c r="G178" s="3" t="s">
        <v>338</v>
      </c>
      <c r="H178" s="3">
        <v>1954.0</v>
      </c>
      <c r="I178" s="3" t="str">
        <f>IF(DB!$H178&gt;1000,LEFT(DB!$H178,2)+1,LEFT(DB!$H178,1)+1)</f>
        <v>20</v>
      </c>
      <c r="J178" s="3" t="s">
        <v>76</v>
      </c>
      <c r="K178" s="3" t="s">
        <v>23</v>
      </c>
      <c r="L178" s="3" t="s">
        <v>24</v>
      </c>
      <c r="M178" s="3"/>
      <c r="N178" s="3">
        <v>364.0</v>
      </c>
      <c r="O178" s="5">
        <v>43831.0</v>
      </c>
      <c r="P178" s="3">
        <v>3.5</v>
      </c>
    </row>
    <row r="179" ht="14.25" customHeight="1">
      <c r="A179" s="3"/>
      <c r="B179" s="4" t="s">
        <v>340</v>
      </c>
      <c r="C179" s="4" t="s">
        <v>28</v>
      </c>
      <c r="D179" s="4" t="s">
        <v>18</v>
      </c>
      <c r="E179" s="3" t="s">
        <v>41</v>
      </c>
      <c r="F179" s="3" t="s">
        <v>42</v>
      </c>
      <c r="G179" s="3" t="s">
        <v>338</v>
      </c>
      <c r="H179" s="3">
        <v>1955.0</v>
      </c>
      <c r="I179" s="3" t="str">
        <f>IF(DB!$H179&gt;1000,LEFT(DB!$H179,2)+1,LEFT(DB!$H179,1)+1)</f>
        <v>20</v>
      </c>
      <c r="J179" s="3" t="s">
        <v>76</v>
      </c>
      <c r="K179" s="3" t="s">
        <v>23</v>
      </c>
      <c r="L179" s="3" t="s">
        <v>24</v>
      </c>
      <c r="M179" s="3"/>
      <c r="N179" s="3">
        <v>450.0</v>
      </c>
      <c r="O179" s="5">
        <v>43831.0</v>
      </c>
      <c r="P179" s="3">
        <v>4.0</v>
      </c>
    </row>
    <row r="180" ht="14.25" customHeight="1">
      <c r="A180" s="3"/>
      <c r="B180" s="4" t="s">
        <v>341</v>
      </c>
      <c r="C180" s="4" t="s">
        <v>316</v>
      </c>
      <c r="D180" s="4" t="s">
        <v>60</v>
      </c>
      <c r="E180" s="3" t="s">
        <v>41</v>
      </c>
      <c r="F180" s="3" t="s">
        <v>42</v>
      </c>
      <c r="G180" s="3" t="s">
        <v>317</v>
      </c>
      <c r="H180" s="3">
        <v>1988.0</v>
      </c>
      <c r="I180" s="3" t="str">
        <f>IF(DB!$H180&gt;1000,LEFT(DB!$H180,2)+1,LEFT(DB!$H180,1)+1)</f>
        <v>20</v>
      </c>
      <c r="J180" s="3" t="s">
        <v>184</v>
      </c>
      <c r="K180" s="3" t="s">
        <v>23</v>
      </c>
      <c r="L180" s="3" t="s">
        <v>24</v>
      </c>
      <c r="M180" s="3"/>
      <c r="N180" s="3">
        <v>256.0</v>
      </c>
      <c r="O180" s="5">
        <v>43831.0</v>
      </c>
      <c r="P180" s="3">
        <v>5.0</v>
      </c>
    </row>
    <row r="181" ht="14.25" customHeight="1">
      <c r="A181" s="3"/>
      <c r="B181" s="4" t="s">
        <v>342</v>
      </c>
      <c r="C181" s="4" t="s">
        <v>28</v>
      </c>
      <c r="D181" s="4" t="s">
        <v>18</v>
      </c>
      <c r="E181" s="3" t="s">
        <v>47</v>
      </c>
      <c r="F181" s="3" t="s">
        <v>42</v>
      </c>
      <c r="G181" s="3" t="s">
        <v>48</v>
      </c>
      <c r="H181" s="3">
        <v>1869.0</v>
      </c>
      <c r="I181" s="3" t="str">
        <f>IF(DB!$H181&gt;1000,LEFT(DB!$H181,2)+1,LEFT(DB!$H181,1)+1)</f>
        <v>19</v>
      </c>
      <c r="J181" s="3" t="s">
        <v>343</v>
      </c>
      <c r="K181" s="3" t="s">
        <v>23</v>
      </c>
      <c r="L181" s="3" t="s">
        <v>24</v>
      </c>
      <c r="M181" s="3"/>
      <c r="N181" s="3">
        <v>232.0</v>
      </c>
      <c r="O181" s="5">
        <v>43831.0</v>
      </c>
      <c r="P181" s="3">
        <v>4.5</v>
      </c>
    </row>
    <row r="182" ht="14.25" customHeight="1">
      <c r="A182" s="3"/>
      <c r="B182" s="4" t="s">
        <v>344</v>
      </c>
      <c r="C182" s="4" t="s">
        <v>59</v>
      </c>
      <c r="D182" s="4" t="s">
        <v>60</v>
      </c>
      <c r="E182" s="3" t="s">
        <v>345</v>
      </c>
      <c r="F182" s="3" t="s">
        <v>20</v>
      </c>
      <c r="G182" s="3" t="s">
        <v>346</v>
      </c>
      <c r="H182" s="3">
        <v>1970.0</v>
      </c>
      <c r="I182" s="3" t="str">
        <f>IF(DB!$H182&gt;1000,LEFT(DB!$H182,2)+1,LEFT(DB!$H182,1)+1)</f>
        <v>20</v>
      </c>
      <c r="J182" s="3" t="s">
        <v>347</v>
      </c>
      <c r="K182" s="3" t="s">
        <v>23</v>
      </c>
      <c r="L182" s="3" t="s">
        <v>24</v>
      </c>
      <c r="M182" s="3"/>
      <c r="N182" s="3">
        <v>400.0</v>
      </c>
      <c r="O182" s="5">
        <v>43831.0</v>
      </c>
      <c r="P182" s="3">
        <v>4.5</v>
      </c>
    </row>
    <row r="183" ht="14.25" customHeight="1">
      <c r="A183" s="3"/>
      <c r="B183" s="4" t="s">
        <v>348</v>
      </c>
      <c r="C183" s="4" t="s">
        <v>28</v>
      </c>
      <c r="D183" s="4" t="s">
        <v>18</v>
      </c>
      <c r="E183" s="3" t="s">
        <v>36</v>
      </c>
      <c r="F183" s="3" t="s">
        <v>37</v>
      </c>
      <c r="G183" s="3" t="s">
        <v>349</v>
      </c>
      <c r="H183" s="3">
        <v>1953.0</v>
      </c>
      <c r="I183" s="3" t="str">
        <f>IF(DB!$H183&gt;1000,LEFT(DB!$H183,2)+1,LEFT(DB!$H183,1)+1)</f>
        <v>20</v>
      </c>
      <c r="J183" s="3" t="s">
        <v>207</v>
      </c>
      <c r="K183" s="3" t="s">
        <v>23</v>
      </c>
      <c r="L183" s="3" t="s">
        <v>24</v>
      </c>
      <c r="M183" s="3"/>
      <c r="N183" s="3">
        <v>216.0</v>
      </c>
      <c r="O183" s="5">
        <v>43831.0</v>
      </c>
      <c r="P183" s="3">
        <v>4.0</v>
      </c>
    </row>
    <row r="184" ht="14.25" customHeight="1">
      <c r="A184" s="3"/>
      <c r="B184" s="4" t="s">
        <v>350</v>
      </c>
      <c r="C184" s="4" t="s">
        <v>28</v>
      </c>
      <c r="D184" s="4" t="s">
        <v>18</v>
      </c>
      <c r="E184" s="3" t="s">
        <v>176</v>
      </c>
      <c r="F184" s="3" t="s">
        <v>177</v>
      </c>
      <c r="G184" s="3" t="s">
        <v>351</v>
      </c>
      <c r="H184" s="3">
        <v>1866.0</v>
      </c>
      <c r="I184" s="3" t="str">
        <f>IF(DB!$H184&gt;1000,LEFT(DB!$H184,2)+1,LEFT(DB!$H184,1)+1)</f>
        <v>19</v>
      </c>
      <c r="J184" s="3" t="s">
        <v>213</v>
      </c>
      <c r="K184" s="3" t="s">
        <v>23</v>
      </c>
      <c r="L184" s="3" t="s">
        <v>24</v>
      </c>
      <c r="M184" s="3"/>
      <c r="N184" s="3">
        <v>591.0</v>
      </c>
      <c r="O184" s="5">
        <v>43832.0</v>
      </c>
      <c r="P184" s="3">
        <v>4.5</v>
      </c>
    </row>
    <row r="185" ht="14.25" customHeight="1">
      <c r="A185" s="3"/>
      <c r="B185" s="4" t="s">
        <v>352</v>
      </c>
      <c r="C185" s="4" t="s">
        <v>28</v>
      </c>
      <c r="D185" s="4" t="s">
        <v>18</v>
      </c>
      <c r="E185" s="3" t="s">
        <v>41</v>
      </c>
      <c r="F185" s="3" t="s">
        <v>42</v>
      </c>
      <c r="G185" s="3" t="s">
        <v>353</v>
      </c>
      <c r="H185" s="3">
        <v>1813.0</v>
      </c>
      <c r="I185" s="3" t="str">
        <f>IF(DB!$H185&gt;1000,LEFT(DB!$H185,2)+1,LEFT(DB!$H185,1)+1)</f>
        <v>19</v>
      </c>
      <c r="J185" s="3" t="s">
        <v>213</v>
      </c>
      <c r="K185" s="3" t="s">
        <v>33</v>
      </c>
      <c r="L185" s="3" t="s">
        <v>24</v>
      </c>
      <c r="M185" s="3"/>
      <c r="N185" s="3">
        <v>480.0</v>
      </c>
      <c r="O185" s="5">
        <v>43833.0</v>
      </c>
      <c r="P185" s="3">
        <v>3.5</v>
      </c>
    </row>
    <row r="186" ht="14.25" customHeight="1">
      <c r="A186" s="3"/>
      <c r="B186" s="4" t="s">
        <v>354</v>
      </c>
      <c r="C186" s="4" t="s">
        <v>28</v>
      </c>
      <c r="D186" s="4" t="s">
        <v>18</v>
      </c>
      <c r="E186" s="3" t="s">
        <v>19</v>
      </c>
      <c r="F186" s="3" t="s">
        <v>20</v>
      </c>
      <c r="G186" s="3" t="s">
        <v>355</v>
      </c>
      <c r="H186" s="3">
        <v>1870.0</v>
      </c>
      <c r="I186" s="3" t="str">
        <f>IF(DB!$H186&gt;1000,LEFT(DB!$H186,2)+1,LEFT(DB!$H186,1)+1)</f>
        <v>19</v>
      </c>
      <c r="J186" s="3" t="s">
        <v>356</v>
      </c>
      <c r="K186" s="3" t="s">
        <v>23</v>
      </c>
      <c r="L186" s="3" t="s">
        <v>24</v>
      </c>
      <c r="M186" s="3"/>
      <c r="N186" s="3">
        <v>336.0</v>
      </c>
      <c r="O186" s="5">
        <v>43834.0</v>
      </c>
      <c r="P186" s="3">
        <v>3.0</v>
      </c>
    </row>
    <row r="187" ht="14.25" customHeight="1">
      <c r="A187" s="3"/>
      <c r="B187" s="4" t="s">
        <v>357</v>
      </c>
      <c r="C187" s="4" t="s">
        <v>28</v>
      </c>
      <c r="D187" s="4" t="s">
        <v>18</v>
      </c>
      <c r="E187" s="3" t="s">
        <v>79</v>
      </c>
      <c r="F187" s="3" t="s">
        <v>79</v>
      </c>
      <c r="G187" s="3" t="s">
        <v>79</v>
      </c>
      <c r="H187" s="3">
        <v>1100.0</v>
      </c>
      <c r="I187" s="3" t="str">
        <f>IF(DB!$H187&gt;1000,LEFT(DB!$H187,2)+1,LEFT(DB!$H187,1)+1)</f>
        <v>12</v>
      </c>
      <c r="J187" s="3" t="s">
        <v>79</v>
      </c>
      <c r="K187" s="3" t="s">
        <v>79</v>
      </c>
      <c r="L187" s="3" t="s">
        <v>79</v>
      </c>
      <c r="M187" s="3"/>
      <c r="N187" s="3">
        <v>255.0</v>
      </c>
      <c r="O187" s="5">
        <v>43835.0</v>
      </c>
      <c r="P187" s="3">
        <v>4.0</v>
      </c>
    </row>
    <row r="188" ht="14.25" customHeight="1">
      <c r="A188" s="3"/>
      <c r="B188" s="4" t="s">
        <v>358</v>
      </c>
      <c r="C188" s="4" t="s">
        <v>196</v>
      </c>
      <c r="D188" s="4" t="s">
        <v>18</v>
      </c>
      <c r="E188" s="3" t="s">
        <v>140</v>
      </c>
      <c r="F188" s="3" t="s">
        <v>42</v>
      </c>
      <c r="G188" s="3" t="s">
        <v>359</v>
      </c>
      <c r="H188" s="3">
        <v>1517.0</v>
      </c>
      <c r="I188" s="3" t="str">
        <f>IF(DB!$H188&gt;1000,LEFT(DB!$H188,2)+1,LEFT(DB!$H188,1)+1)</f>
        <v>16</v>
      </c>
      <c r="J188" s="3" t="s">
        <v>22</v>
      </c>
      <c r="K188" s="3" t="s">
        <v>23</v>
      </c>
      <c r="L188" s="3" t="s">
        <v>24</v>
      </c>
      <c r="M188" s="3"/>
      <c r="N188" s="3">
        <v>97.0</v>
      </c>
      <c r="O188" s="5">
        <v>43836.0</v>
      </c>
      <c r="P188" s="3">
        <v>4.0</v>
      </c>
    </row>
    <row r="189" ht="14.25" customHeight="1">
      <c r="A189" s="3"/>
      <c r="B189" s="4" t="s">
        <v>360</v>
      </c>
      <c r="C189" s="4" t="s">
        <v>17</v>
      </c>
      <c r="D189" s="4" t="s">
        <v>60</v>
      </c>
      <c r="E189" s="3" t="s">
        <v>41</v>
      </c>
      <c r="F189" s="3" t="s">
        <v>42</v>
      </c>
      <c r="G189" s="3" t="s">
        <v>361</v>
      </c>
      <c r="H189" s="3">
        <v>2006.0</v>
      </c>
      <c r="I189" s="3" t="str">
        <f>IF(DB!$H189&gt;1000,LEFT(DB!$H189,2)+1,LEFT(DB!$H189,1)+1)</f>
        <v>21</v>
      </c>
      <c r="J189" s="3" t="s">
        <v>230</v>
      </c>
      <c r="K189" s="3" t="s">
        <v>23</v>
      </c>
      <c r="L189" s="3" t="s">
        <v>24</v>
      </c>
      <c r="M189" s="3"/>
      <c r="N189" s="3">
        <v>320.0</v>
      </c>
      <c r="O189" s="5">
        <v>43837.0</v>
      </c>
      <c r="P189" s="3">
        <v>5.0</v>
      </c>
    </row>
    <row r="190" ht="14.25" customHeight="1">
      <c r="A190" s="3"/>
      <c r="B190" s="4" t="s">
        <v>362</v>
      </c>
      <c r="C190" s="4" t="s">
        <v>110</v>
      </c>
      <c r="D190" s="4" t="s">
        <v>18</v>
      </c>
      <c r="E190" s="3" t="s">
        <v>19</v>
      </c>
      <c r="F190" s="3" t="s">
        <v>20</v>
      </c>
      <c r="G190" s="3" t="s">
        <v>363</v>
      </c>
      <c r="H190" s="3">
        <v>1949.0</v>
      </c>
      <c r="I190" s="3" t="str">
        <f>IF(DB!$H190&gt;1000,LEFT(DB!$H190,2)+1,LEFT(DB!$H190,1)+1)</f>
        <v>20</v>
      </c>
      <c r="J190" s="3" t="s">
        <v>364</v>
      </c>
      <c r="K190" s="3" t="s">
        <v>23</v>
      </c>
      <c r="L190" s="3" t="s">
        <v>24</v>
      </c>
      <c r="M190" s="3"/>
      <c r="N190" s="3">
        <v>104.0</v>
      </c>
      <c r="O190" s="5">
        <v>43838.0</v>
      </c>
      <c r="P190" s="3">
        <v>4.0</v>
      </c>
    </row>
    <row r="191" ht="14.25" customHeight="1">
      <c r="A191" s="3"/>
      <c r="B191" s="4" t="s">
        <v>365</v>
      </c>
      <c r="C191" s="4" t="s">
        <v>110</v>
      </c>
      <c r="D191" s="4" t="s">
        <v>18</v>
      </c>
      <c r="E191" s="3" t="s">
        <v>19</v>
      </c>
      <c r="F191" s="3" t="s">
        <v>20</v>
      </c>
      <c r="G191" s="3" t="s">
        <v>366</v>
      </c>
      <c r="H191" s="3">
        <v>1938.0</v>
      </c>
      <c r="I191" s="3" t="str">
        <f>IF(DB!$H191&gt;1000,LEFT(DB!$H191,2)+1,LEFT(DB!$H191,1)+1)</f>
        <v>20</v>
      </c>
      <c r="J191" s="3" t="s">
        <v>230</v>
      </c>
      <c r="K191" s="3" t="s">
        <v>23</v>
      </c>
      <c r="L191" s="3" t="s">
        <v>24</v>
      </c>
      <c r="M191" s="3"/>
      <c r="N191" s="3">
        <v>304.0</v>
      </c>
      <c r="O191" s="5">
        <v>43839.0</v>
      </c>
      <c r="P191" s="3">
        <v>4.0</v>
      </c>
    </row>
    <row r="192" ht="14.25" customHeight="1">
      <c r="A192" s="3"/>
      <c r="B192" s="4" t="s">
        <v>367</v>
      </c>
      <c r="C192" s="4" t="s">
        <v>28</v>
      </c>
      <c r="D192" s="4" t="s">
        <v>18</v>
      </c>
      <c r="E192" s="3" t="s">
        <v>36</v>
      </c>
      <c r="F192" s="3" t="s">
        <v>37</v>
      </c>
      <c r="G192" s="3" t="s">
        <v>368</v>
      </c>
      <c r="H192" s="3">
        <v>2011.0</v>
      </c>
      <c r="I192" s="3" t="str">
        <f>IF(DB!$H192&gt;1000,LEFT(DB!$H192,2)+1,LEFT(DB!$H192,1)+1)</f>
        <v>21</v>
      </c>
      <c r="J192" s="3" t="s">
        <v>148</v>
      </c>
      <c r="K192" s="3" t="s">
        <v>23</v>
      </c>
      <c r="L192" s="3" t="s">
        <v>24</v>
      </c>
      <c r="M192" s="3"/>
      <c r="N192" s="3">
        <v>408.0</v>
      </c>
      <c r="O192" s="5">
        <v>43840.0</v>
      </c>
      <c r="P192" s="3">
        <v>3.5</v>
      </c>
    </row>
    <row r="193" ht="14.25" customHeight="1">
      <c r="A193" s="3"/>
      <c r="B193" s="4">
        <v>1984.0</v>
      </c>
      <c r="C193" s="4" t="s">
        <v>28</v>
      </c>
      <c r="D193" s="4" t="s">
        <v>18</v>
      </c>
      <c r="E193" s="3" t="s">
        <v>41</v>
      </c>
      <c r="F193" s="3" t="s">
        <v>42</v>
      </c>
      <c r="G193" s="3" t="s">
        <v>243</v>
      </c>
      <c r="H193" s="3">
        <v>1949.0</v>
      </c>
      <c r="I193" s="3" t="str">
        <f>IF(DB!$H193&gt;1000,LEFT(DB!$H193,2)+1,LEFT(DB!$H193,1)+1)</f>
        <v>20</v>
      </c>
      <c r="J193" s="3" t="s">
        <v>67</v>
      </c>
      <c r="K193" s="3" t="s">
        <v>23</v>
      </c>
      <c r="L193" s="3" t="s">
        <v>24</v>
      </c>
      <c r="M193" s="3"/>
      <c r="N193" s="3">
        <v>416.0</v>
      </c>
      <c r="O193" s="5">
        <v>43841.0</v>
      </c>
      <c r="P193" s="3">
        <v>5.0</v>
      </c>
    </row>
    <row r="194" ht="14.25" customHeight="1">
      <c r="A194" s="3"/>
      <c r="B194" s="4" t="s">
        <v>369</v>
      </c>
      <c r="C194" s="4" t="s">
        <v>28</v>
      </c>
      <c r="D194" s="4" t="s">
        <v>18</v>
      </c>
      <c r="E194" s="3" t="s">
        <v>19</v>
      </c>
      <c r="F194" s="3" t="s">
        <v>20</v>
      </c>
      <c r="G194" s="3" t="s">
        <v>370</v>
      </c>
      <c r="H194" s="3">
        <v>1937.0</v>
      </c>
      <c r="I194" s="3" t="str">
        <f>IF(DB!$H194&gt;1000,LEFT(DB!$H194,2)+1,LEFT(DB!$H194,1)+1)</f>
        <v>20</v>
      </c>
      <c r="J194" s="3" t="s">
        <v>67</v>
      </c>
      <c r="K194" s="3" t="s">
        <v>23</v>
      </c>
      <c r="L194" s="3" t="s">
        <v>24</v>
      </c>
      <c r="M194" s="3"/>
      <c r="N194" s="3">
        <v>296.0</v>
      </c>
      <c r="O194" s="5">
        <v>43915.0</v>
      </c>
      <c r="P194" s="3">
        <v>4.0</v>
      </c>
    </row>
    <row r="195" ht="14.25" customHeight="1">
      <c r="A195" s="3"/>
      <c r="B195" s="4" t="s">
        <v>371</v>
      </c>
      <c r="C195" s="4" t="s">
        <v>28</v>
      </c>
      <c r="D195" s="4" t="s">
        <v>18</v>
      </c>
      <c r="E195" s="3" t="s">
        <v>372</v>
      </c>
      <c r="F195" s="3" t="s">
        <v>42</v>
      </c>
      <c r="G195" s="3" t="s">
        <v>373</v>
      </c>
      <c r="H195" s="3">
        <v>2009.0</v>
      </c>
      <c r="I195" s="3" t="str">
        <f>IF(DB!$H195&gt;1000,LEFT(DB!$H195,2)+1,LEFT(DB!$H195,1)+1)</f>
        <v>21</v>
      </c>
      <c r="J195" s="3" t="s">
        <v>374</v>
      </c>
      <c r="K195" s="3" t="s">
        <v>33</v>
      </c>
      <c r="L195" s="3" t="s">
        <v>24</v>
      </c>
      <c r="M195" s="3"/>
      <c r="N195" s="3">
        <v>256.0</v>
      </c>
      <c r="O195" s="5">
        <v>43930.0</v>
      </c>
      <c r="P195" s="3">
        <v>3.5</v>
      </c>
    </row>
    <row r="196" ht="14.25" customHeight="1">
      <c r="A196" s="3"/>
      <c r="B196" s="4" t="s">
        <v>375</v>
      </c>
      <c r="C196" s="4" t="s">
        <v>28</v>
      </c>
      <c r="D196" s="4" t="s">
        <v>18</v>
      </c>
      <c r="E196" s="3" t="s">
        <v>376</v>
      </c>
      <c r="F196" s="3" t="s">
        <v>30</v>
      </c>
      <c r="G196" s="3" t="s">
        <v>377</v>
      </c>
      <c r="H196" s="3">
        <v>1992.0</v>
      </c>
      <c r="I196" s="3" t="str">
        <f>IF(DB!$H196&gt;1000,LEFT(DB!$H196,2)+1,LEFT(DB!$H196,1)+1)</f>
        <v>20</v>
      </c>
      <c r="J196" s="3" t="s">
        <v>67</v>
      </c>
      <c r="K196" s="3" t="s">
        <v>23</v>
      </c>
      <c r="L196" s="3" t="s">
        <v>24</v>
      </c>
      <c r="M196" s="3"/>
      <c r="N196" s="3">
        <v>208.0</v>
      </c>
      <c r="O196" s="5">
        <v>43935.0</v>
      </c>
      <c r="P196" s="3">
        <v>4.5</v>
      </c>
    </row>
    <row r="197" ht="14.25" customHeight="1">
      <c r="A197" s="3"/>
      <c r="B197" s="4" t="s">
        <v>378</v>
      </c>
      <c r="C197" s="4" t="s">
        <v>28</v>
      </c>
      <c r="D197" s="4" t="s">
        <v>18</v>
      </c>
      <c r="E197" s="3" t="s">
        <v>379</v>
      </c>
      <c r="F197" s="3" t="s">
        <v>20</v>
      </c>
      <c r="G197" s="3" t="s">
        <v>380</v>
      </c>
      <c r="H197" s="3">
        <v>1982.0</v>
      </c>
      <c r="I197" s="3" t="str">
        <f>IF(DB!$H197&gt;1000,LEFT(DB!$H197,2)+1,LEFT(DB!$H197,1)+1)</f>
        <v>20</v>
      </c>
      <c r="J197" s="3" t="s">
        <v>381</v>
      </c>
      <c r="K197" s="3" t="s">
        <v>33</v>
      </c>
      <c r="L197" s="3" t="s">
        <v>24</v>
      </c>
      <c r="M197" s="3"/>
      <c r="N197" s="3">
        <v>448.0</v>
      </c>
      <c r="O197" s="5">
        <v>43950.0</v>
      </c>
      <c r="P197" s="3">
        <v>4.5</v>
      </c>
    </row>
    <row r="198" ht="14.25" customHeight="1">
      <c r="A198" s="3"/>
      <c r="B198" s="4" t="s">
        <v>382</v>
      </c>
      <c r="C198" s="4" t="s">
        <v>28</v>
      </c>
      <c r="D198" s="4" t="s">
        <v>18</v>
      </c>
      <c r="E198" s="3" t="s">
        <v>383</v>
      </c>
      <c r="F198" s="3" t="s">
        <v>177</v>
      </c>
      <c r="G198" s="3" t="s">
        <v>384</v>
      </c>
      <c r="H198" s="3">
        <v>1989.0</v>
      </c>
      <c r="I198" s="3" t="str">
        <f>IF(DB!$H198&gt;1000,LEFT(DB!$H198,2)+1,LEFT(DB!$H198,1)+1)</f>
        <v>20</v>
      </c>
      <c r="J198" s="3" t="s">
        <v>67</v>
      </c>
      <c r="K198" s="3" t="s">
        <v>23</v>
      </c>
      <c r="L198" s="3" t="s">
        <v>24</v>
      </c>
      <c r="M198" s="3"/>
      <c r="N198" s="3">
        <v>288.0</v>
      </c>
      <c r="O198" s="5">
        <v>43959.0</v>
      </c>
      <c r="P198" s="3">
        <v>3.5</v>
      </c>
    </row>
    <row r="199" ht="14.25" customHeight="1">
      <c r="A199" s="3"/>
      <c r="B199" s="4" t="s">
        <v>385</v>
      </c>
      <c r="C199" s="4" t="s">
        <v>28</v>
      </c>
      <c r="D199" s="4" t="s">
        <v>18</v>
      </c>
      <c r="E199" s="3" t="s">
        <v>36</v>
      </c>
      <c r="F199" s="3" t="s">
        <v>37</v>
      </c>
      <c r="G199" s="3" t="s">
        <v>123</v>
      </c>
      <c r="H199" s="3">
        <v>1969.0</v>
      </c>
      <c r="I199" s="3" t="str">
        <f>IF(DB!$H199&gt;1000,LEFT(DB!$H199,2)+1,LEFT(DB!$H199,1)+1)</f>
        <v>20</v>
      </c>
      <c r="J199" s="3" t="s">
        <v>184</v>
      </c>
      <c r="K199" s="3" t="s">
        <v>23</v>
      </c>
      <c r="L199" s="3" t="s">
        <v>24</v>
      </c>
      <c r="M199" s="3"/>
      <c r="N199" s="3">
        <v>288.0</v>
      </c>
      <c r="O199" s="5">
        <v>43967.0</v>
      </c>
      <c r="P199" s="3">
        <v>3.5</v>
      </c>
    </row>
    <row r="200" ht="14.25" customHeight="1">
      <c r="A200" s="3"/>
      <c r="B200" s="4" t="s">
        <v>386</v>
      </c>
      <c r="C200" s="4" t="s">
        <v>28</v>
      </c>
      <c r="D200" s="4" t="s">
        <v>18</v>
      </c>
      <c r="E200" s="3" t="s">
        <v>36</v>
      </c>
      <c r="F200" s="3" t="s">
        <v>37</v>
      </c>
      <c r="G200" s="3" t="s">
        <v>387</v>
      </c>
      <c r="H200" s="3">
        <v>1951.0</v>
      </c>
      <c r="I200" s="3" t="str">
        <f>IF(DB!$H200&gt;1000,LEFT(DB!$H200,2)+1,LEFT(DB!$H200,1)+1)</f>
        <v>20</v>
      </c>
      <c r="J200" s="3" t="s">
        <v>374</v>
      </c>
      <c r="K200" s="3" t="s">
        <v>23</v>
      </c>
      <c r="L200" s="3" t="s">
        <v>24</v>
      </c>
      <c r="M200" s="3"/>
      <c r="N200" s="3">
        <v>256.0</v>
      </c>
      <c r="O200" s="5">
        <v>43972.0</v>
      </c>
      <c r="P200" s="3">
        <v>4.0</v>
      </c>
    </row>
    <row r="201" ht="14.25" customHeight="1">
      <c r="A201" s="3"/>
      <c r="B201" s="4" t="s">
        <v>388</v>
      </c>
      <c r="C201" s="4" t="s">
        <v>28</v>
      </c>
      <c r="D201" s="4" t="s">
        <v>18</v>
      </c>
      <c r="E201" s="3" t="s">
        <v>283</v>
      </c>
      <c r="F201" s="3" t="s">
        <v>20</v>
      </c>
      <c r="G201" s="3" t="s">
        <v>284</v>
      </c>
      <c r="H201" s="3">
        <v>1985.0</v>
      </c>
      <c r="I201" s="3" t="str">
        <f>IF(DB!$H201&gt;1000,LEFT(DB!$H201,2)+1,LEFT(DB!$H201,1)+1)</f>
        <v>20</v>
      </c>
      <c r="J201" s="3" t="s">
        <v>230</v>
      </c>
      <c r="K201" s="3" t="s">
        <v>23</v>
      </c>
      <c r="L201" s="3" t="s">
        <v>24</v>
      </c>
      <c r="M201" s="3"/>
      <c r="N201" s="3">
        <v>400.0</v>
      </c>
      <c r="O201" s="5">
        <v>43984.0</v>
      </c>
      <c r="P201" s="3">
        <v>4.0</v>
      </c>
    </row>
    <row r="202" ht="14.25" customHeight="1">
      <c r="A202" s="3"/>
      <c r="B202" s="4" t="s">
        <v>389</v>
      </c>
      <c r="C202" s="4" t="s">
        <v>28</v>
      </c>
      <c r="D202" s="4" t="s">
        <v>18</v>
      </c>
      <c r="E202" s="3" t="s">
        <v>383</v>
      </c>
      <c r="F202" s="3" t="s">
        <v>177</v>
      </c>
      <c r="G202" s="3" t="s">
        <v>390</v>
      </c>
      <c r="H202" s="3">
        <v>1982.0</v>
      </c>
      <c r="I202" s="3" t="str">
        <f>IF(DB!$H202&gt;1000,LEFT(DB!$H202,2)+1,LEFT(DB!$H202,1)+1)</f>
        <v>20</v>
      </c>
      <c r="J202" s="3" t="s">
        <v>391</v>
      </c>
      <c r="K202" s="3" t="s">
        <v>23</v>
      </c>
      <c r="L202" s="3" t="s">
        <v>24</v>
      </c>
      <c r="M202" s="3"/>
      <c r="N202" s="3">
        <v>336.0</v>
      </c>
      <c r="O202" s="5">
        <v>44003.0</v>
      </c>
      <c r="P202" s="3">
        <v>3.5</v>
      </c>
    </row>
    <row r="203" ht="14.25" customHeight="1">
      <c r="A203" s="3"/>
      <c r="B203" s="4" t="s">
        <v>392</v>
      </c>
      <c r="C203" s="4" t="s">
        <v>28</v>
      </c>
      <c r="D203" s="4" t="s">
        <v>18</v>
      </c>
      <c r="E203" s="3" t="s">
        <v>140</v>
      </c>
      <c r="F203" s="3" t="s">
        <v>42</v>
      </c>
      <c r="G203" s="3" t="s">
        <v>141</v>
      </c>
      <c r="H203" s="3">
        <v>2005.0</v>
      </c>
      <c r="I203" s="3" t="str">
        <f>IF(DB!$H203&gt;1000,LEFT(DB!$H203,2)+1,LEFT(DB!$H203,1)+1)</f>
        <v>21</v>
      </c>
      <c r="J203" s="3" t="s">
        <v>67</v>
      </c>
      <c r="K203" s="3" t="s">
        <v>23</v>
      </c>
      <c r="L203" s="3" t="s">
        <v>24</v>
      </c>
      <c r="M203" s="3"/>
      <c r="N203" s="3">
        <v>208.0</v>
      </c>
      <c r="O203" s="5">
        <v>44007.0</v>
      </c>
      <c r="P203" s="3">
        <v>4.5</v>
      </c>
    </row>
    <row r="204" ht="14.25" customHeight="1">
      <c r="A204" s="3"/>
      <c r="B204" s="4" t="s">
        <v>393</v>
      </c>
      <c r="C204" s="4" t="s">
        <v>28</v>
      </c>
      <c r="D204" s="4" t="s">
        <v>18</v>
      </c>
      <c r="E204" s="3" t="s">
        <v>41</v>
      </c>
      <c r="F204" s="3" t="s">
        <v>42</v>
      </c>
      <c r="G204" s="3" t="s">
        <v>394</v>
      </c>
      <c r="H204" s="3">
        <v>1850.0</v>
      </c>
      <c r="I204" s="3" t="str">
        <f>IF(DB!$H204&gt;1000,LEFT(DB!$H204,2)+1,LEFT(DB!$H204,1)+1)</f>
        <v>19</v>
      </c>
      <c r="J204" s="3" t="s">
        <v>57</v>
      </c>
      <c r="K204" s="3" t="s">
        <v>23</v>
      </c>
      <c r="L204" s="3" t="s">
        <v>24</v>
      </c>
      <c r="M204" s="3"/>
      <c r="N204" s="3">
        <v>462.0</v>
      </c>
      <c r="O204" s="5">
        <v>44044.0</v>
      </c>
      <c r="P204" s="3">
        <v>3.5</v>
      </c>
    </row>
    <row r="205" ht="14.25" customHeight="1">
      <c r="A205" s="3"/>
      <c r="B205" s="4" t="s">
        <v>395</v>
      </c>
      <c r="C205" s="4" t="s">
        <v>28</v>
      </c>
      <c r="D205" s="4" t="s">
        <v>18</v>
      </c>
      <c r="E205" s="3" t="s">
        <v>19</v>
      </c>
      <c r="F205" s="3" t="s">
        <v>20</v>
      </c>
      <c r="G205" s="3" t="s">
        <v>396</v>
      </c>
      <c r="H205" s="3">
        <v>1956.0</v>
      </c>
      <c r="I205" s="3" t="str">
        <f>IF(DB!$H205&gt;1000,LEFT(DB!$H205,2)+1,LEFT(DB!$H205,1)+1)</f>
        <v>20</v>
      </c>
      <c r="J205" s="3" t="s">
        <v>67</v>
      </c>
      <c r="K205" s="3" t="s">
        <v>23</v>
      </c>
      <c r="L205" s="3" t="s">
        <v>24</v>
      </c>
      <c r="M205" s="3"/>
      <c r="N205" s="3">
        <v>560.0</v>
      </c>
      <c r="O205" s="5">
        <v>44088.0</v>
      </c>
      <c r="P205" s="3">
        <v>5.0</v>
      </c>
    </row>
    <row r="206" ht="14.25" customHeight="1">
      <c r="A206" s="3"/>
      <c r="B206" s="4" t="s">
        <v>397</v>
      </c>
      <c r="C206" s="4" t="s">
        <v>28</v>
      </c>
      <c r="D206" s="4" t="s">
        <v>18</v>
      </c>
      <c r="E206" s="3" t="s">
        <v>36</v>
      </c>
      <c r="F206" s="3" t="s">
        <v>37</v>
      </c>
      <c r="G206" s="3" t="s">
        <v>398</v>
      </c>
      <c r="H206" s="3">
        <v>1957.0</v>
      </c>
      <c r="I206" s="3" t="str">
        <f>IF(DB!$H206&gt;1000,LEFT(DB!$H206,2)+1,LEFT(DB!$H206,1)+1)</f>
        <v>20</v>
      </c>
      <c r="J206" s="3" t="s">
        <v>44</v>
      </c>
      <c r="K206" s="3" t="s">
        <v>33</v>
      </c>
      <c r="L206" s="3" t="s">
        <v>24</v>
      </c>
      <c r="M206" s="3"/>
      <c r="N206" s="3">
        <v>352.0</v>
      </c>
      <c r="O206" s="5">
        <v>44103.0</v>
      </c>
      <c r="P206" s="3">
        <v>3.5</v>
      </c>
    </row>
    <row r="207" ht="14.25" customHeight="1">
      <c r="A207" s="3"/>
      <c r="B207" s="4" t="s">
        <v>399</v>
      </c>
      <c r="C207" s="4" t="s">
        <v>28</v>
      </c>
      <c r="D207" s="4" t="s">
        <v>18</v>
      </c>
      <c r="E207" s="3" t="s">
        <v>36</v>
      </c>
      <c r="F207" s="3" t="s">
        <v>37</v>
      </c>
      <c r="G207" s="3" t="s">
        <v>398</v>
      </c>
      <c r="H207" s="3">
        <v>1957.0</v>
      </c>
      <c r="I207" s="3" t="str">
        <f>IF(DB!$H207&gt;1000,LEFT(DB!$H207,2)+1,LEFT(DB!$H207,1)+1)</f>
        <v>20</v>
      </c>
      <c r="J207" s="3" t="s">
        <v>44</v>
      </c>
      <c r="K207" s="3" t="s">
        <v>33</v>
      </c>
      <c r="L207" s="3" t="s">
        <v>24</v>
      </c>
      <c r="M207" s="3"/>
      <c r="N207" s="3">
        <v>384.0</v>
      </c>
      <c r="O207" s="5">
        <v>44110.0</v>
      </c>
      <c r="P207" s="3">
        <v>3.5</v>
      </c>
    </row>
    <row r="208" ht="14.25" customHeight="1">
      <c r="A208" s="3"/>
      <c r="B208" s="4" t="s">
        <v>400</v>
      </c>
      <c r="C208" s="4" t="s">
        <v>28</v>
      </c>
      <c r="D208" s="4" t="s">
        <v>18</v>
      </c>
      <c r="E208" s="3" t="s">
        <v>36</v>
      </c>
      <c r="F208" s="3" t="s">
        <v>37</v>
      </c>
      <c r="G208" s="3" t="s">
        <v>398</v>
      </c>
      <c r="H208" s="3">
        <v>1957.0</v>
      </c>
      <c r="I208" s="3" t="str">
        <f>IF(DB!$H208&gt;1000,LEFT(DB!$H208,2)+1,LEFT(DB!$H208,1)+1)</f>
        <v>20</v>
      </c>
      <c r="J208" s="3" t="s">
        <v>44</v>
      </c>
      <c r="K208" s="3" t="s">
        <v>33</v>
      </c>
      <c r="L208" s="3" t="s">
        <v>24</v>
      </c>
      <c r="M208" s="3"/>
      <c r="N208" s="3">
        <v>496.0</v>
      </c>
      <c r="O208" s="5">
        <v>44123.0</v>
      </c>
      <c r="P208" s="3">
        <v>3.5</v>
      </c>
    </row>
    <row r="209" ht="14.25" customHeight="1">
      <c r="A209" s="3"/>
      <c r="B209" s="4" t="s">
        <v>401</v>
      </c>
      <c r="C209" s="4" t="s">
        <v>28</v>
      </c>
      <c r="D209" s="4" t="s">
        <v>18</v>
      </c>
      <c r="E209" s="3" t="s">
        <v>176</v>
      </c>
      <c r="F209" s="3" t="s">
        <v>177</v>
      </c>
      <c r="G209" s="3" t="s">
        <v>402</v>
      </c>
      <c r="H209" s="3">
        <v>1886.0</v>
      </c>
      <c r="I209" s="3" t="str">
        <f>IF(DB!$H209&gt;1000,LEFT(DB!$H209,2)+1,LEFT(DB!$H209,1)+1)</f>
        <v>19</v>
      </c>
      <c r="J209" s="3" t="s">
        <v>165</v>
      </c>
      <c r="K209" s="3" t="s">
        <v>23</v>
      </c>
      <c r="L209" s="3" t="s">
        <v>24</v>
      </c>
      <c r="M209" s="3"/>
      <c r="N209" s="3">
        <v>312.0</v>
      </c>
      <c r="O209" s="5">
        <v>44125.0</v>
      </c>
      <c r="P209" s="3">
        <v>4.0</v>
      </c>
    </row>
    <row r="210" ht="14.25" customHeight="1">
      <c r="A210" s="3"/>
      <c r="B210" s="4" t="s">
        <v>403</v>
      </c>
      <c r="C210" s="4" t="s">
        <v>404</v>
      </c>
      <c r="D210" s="4" t="s">
        <v>60</v>
      </c>
      <c r="E210" s="3" t="s">
        <v>405</v>
      </c>
      <c r="F210" s="3" t="s">
        <v>177</v>
      </c>
      <c r="G210" s="3" t="s">
        <v>406</v>
      </c>
      <c r="H210" s="3">
        <v>2014.0</v>
      </c>
      <c r="I210" s="3" t="str">
        <f>IF(DB!$H210&gt;1000,LEFT(DB!$H210,2)+1,LEFT(DB!$H210,1)+1)</f>
        <v>21</v>
      </c>
      <c r="J210" s="3" t="s">
        <v>407</v>
      </c>
      <c r="K210" s="3" t="s">
        <v>33</v>
      </c>
      <c r="L210" s="3"/>
      <c r="M210" s="3"/>
      <c r="N210" s="3">
        <v>208.0</v>
      </c>
      <c r="O210" s="5">
        <v>44126.0</v>
      </c>
      <c r="P210" s="3">
        <v>4.5</v>
      </c>
    </row>
    <row r="211" ht="14.25" customHeight="1">
      <c r="A211" s="3"/>
      <c r="B211" s="4" t="s">
        <v>408</v>
      </c>
      <c r="C211" s="4" t="s">
        <v>28</v>
      </c>
      <c r="D211" s="4" t="s">
        <v>18</v>
      </c>
      <c r="E211" s="3" t="s">
        <v>41</v>
      </c>
      <c r="F211" s="3" t="s">
        <v>42</v>
      </c>
      <c r="G211" s="3" t="s">
        <v>409</v>
      </c>
      <c r="H211" s="3">
        <v>1925.0</v>
      </c>
      <c r="I211" s="3" t="str">
        <f>IF(DB!$H211&gt;1000,LEFT(DB!$H211,2)+1,LEFT(DB!$H211,1)+1)</f>
        <v>20</v>
      </c>
      <c r="J211" s="3" t="s">
        <v>165</v>
      </c>
      <c r="K211" s="3" t="s">
        <v>33</v>
      </c>
      <c r="L211" s="3" t="s">
        <v>24</v>
      </c>
      <c r="M211" s="3" t="s">
        <v>18</v>
      </c>
      <c r="N211" s="3">
        <v>400.0</v>
      </c>
      <c r="O211" s="5">
        <v>44132.0</v>
      </c>
      <c r="P211" s="3">
        <v>4.0</v>
      </c>
    </row>
    <row r="212" ht="14.25" customHeight="1">
      <c r="A212" s="3"/>
      <c r="B212" s="4" t="s">
        <v>410</v>
      </c>
      <c r="C212" s="4" t="s">
        <v>28</v>
      </c>
      <c r="D212" s="4" t="s">
        <v>18</v>
      </c>
      <c r="E212" s="3" t="s">
        <v>140</v>
      </c>
      <c r="F212" s="3" t="s">
        <v>42</v>
      </c>
      <c r="G212" s="3" t="s">
        <v>206</v>
      </c>
      <c r="H212" s="3">
        <v>2004.0</v>
      </c>
      <c r="I212" s="3" t="str">
        <f>IF(DB!$H212&gt;1000,LEFT(DB!$H212,2)+1,LEFT(DB!$H212,1)+1)</f>
        <v>21</v>
      </c>
      <c r="J212" s="3" t="s">
        <v>207</v>
      </c>
      <c r="K212" s="3" t="s">
        <v>23</v>
      </c>
      <c r="L212" s="3" t="s">
        <v>24</v>
      </c>
      <c r="M212" s="3"/>
      <c r="N212" s="3">
        <v>184.0</v>
      </c>
      <c r="O212" s="5">
        <v>44142.0</v>
      </c>
      <c r="P212" s="3">
        <v>3.5</v>
      </c>
    </row>
    <row r="213" ht="14.25" customHeight="1">
      <c r="A213" s="3"/>
      <c r="B213" s="4" t="s">
        <v>411</v>
      </c>
      <c r="C213" s="4" t="s">
        <v>28</v>
      </c>
      <c r="D213" s="4" t="s">
        <v>18</v>
      </c>
      <c r="E213" s="3" t="s">
        <v>41</v>
      </c>
      <c r="F213" s="3" t="s">
        <v>42</v>
      </c>
      <c r="G213" s="3" t="s">
        <v>394</v>
      </c>
      <c r="H213" s="3">
        <v>1850.0</v>
      </c>
      <c r="I213" s="3" t="str">
        <f>IF(DB!$H213&gt;1000,LEFT(DB!$H213,2)+1,LEFT(DB!$H213,1)+1)</f>
        <v>19</v>
      </c>
      <c r="J213" s="3" t="s">
        <v>57</v>
      </c>
      <c r="K213" s="3" t="s">
        <v>23</v>
      </c>
      <c r="L213" s="3" t="s">
        <v>24</v>
      </c>
      <c r="M213" s="3"/>
      <c r="N213" s="3">
        <v>445.0</v>
      </c>
      <c r="O213" s="5">
        <v>44160.0</v>
      </c>
      <c r="P213" s="3">
        <v>3.0</v>
      </c>
    </row>
    <row r="214" ht="14.25" customHeight="1">
      <c r="A214" s="3"/>
      <c r="B214" s="4" t="s">
        <v>412</v>
      </c>
      <c r="C214" s="4" t="s">
        <v>28</v>
      </c>
      <c r="D214" s="4" t="s">
        <v>18</v>
      </c>
      <c r="E214" s="3" t="s">
        <v>19</v>
      </c>
      <c r="F214" s="3" t="s">
        <v>20</v>
      </c>
      <c r="G214" s="3" t="s">
        <v>164</v>
      </c>
      <c r="H214" s="3">
        <v>1881.0</v>
      </c>
      <c r="I214" s="3" t="str">
        <f>IF(DB!$H214&gt;1000,LEFT(DB!$H214,2)+1,LEFT(DB!$H214,1)+1)</f>
        <v>19</v>
      </c>
      <c r="J214" s="3" t="s">
        <v>165</v>
      </c>
      <c r="K214" s="3" t="s">
        <v>23</v>
      </c>
      <c r="L214" s="3" t="s">
        <v>34</v>
      </c>
      <c r="M214" s="3"/>
      <c r="N214" s="3">
        <v>480.0</v>
      </c>
      <c r="O214" s="5">
        <v>44172.0</v>
      </c>
      <c r="P214" s="3">
        <v>5.0</v>
      </c>
    </row>
    <row r="215" ht="14.25" customHeight="1">
      <c r="A215" s="3"/>
      <c r="B215" s="4" t="s">
        <v>413</v>
      </c>
      <c r="C215" s="4" t="s">
        <v>28</v>
      </c>
      <c r="D215" s="4" t="s">
        <v>18</v>
      </c>
      <c r="E215" s="3" t="s">
        <v>19</v>
      </c>
      <c r="F215" s="3" t="s">
        <v>20</v>
      </c>
      <c r="G215" s="3" t="s">
        <v>164</v>
      </c>
      <c r="H215" s="3">
        <v>1899.0</v>
      </c>
      <c r="I215" s="3" t="str">
        <f>IF(DB!$H215&gt;1000,LEFT(DB!$H215,2)+1,LEFT(DB!$H215,1)+1)</f>
        <v>19</v>
      </c>
      <c r="J215" s="3" t="s">
        <v>165</v>
      </c>
      <c r="K215" s="3" t="s">
        <v>23</v>
      </c>
      <c r="L215" s="3" t="s">
        <v>34</v>
      </c>
      <c r="M215" s="3"/>
      <c r="N215" s="3">
        <v>464.0</v>
      </c>
      <c r="O215" s="5">
        <v>44192.0</v>
      </c>
      <c r="P215" s="3">
        <v>5.0</v>
      </c>
    </row>
    <row r="216" ht="14.25" customHeight="1">
      <c r="A216" s="3"/>
      <c r="B216" s="4" t="s">
        <v>414</v>
      </c>
      <c r="C216" s="4" t="s">
        <v>28</v>
      </c>
      <c r="D216" s="4" t="s">
        <v>18</v>
      </c>
      <c r="E216" s="3" t="s">
        <v>36</v>
      </c>
      <c r="F216" s="3" t="s">
        <v>37</v>
      </c>
      <c r="G216" s="3" t="s">
        <v>415</v>
      </c>
      <c r="H216" s="3">
        <v>2018.0</v>
      </c>
      <c r="I216" s="3" t="str">
        <f>IF(DB!$H216&gt;1000,LEFT(DB!$H216,2)+1,LEFT(DB!$H216,1)+1)</f>
        <v>21</v>
      </c>
      <c r="J216" s="3" t="s">
        <v>44</v>
      </c>
      <c r="K216" s="3" t="s">
        <v>23</v>
      </c>
      <c r="L216" s="3" t="s">
        <v>24</v>
      </c>
      <c r="M216" s="3"/>
      <c r="N216" s="3">
        <v>352.0</v>
      </c>
      <c r="O216" s="5">
        <v>44211.0</v>
      </c>
      <c r="P216" s="3">
        <v>3.5</v>
      </c>
    </row>
    <row r="217" ht="14.25" customHeight="1">
      <c r="A217" s="3"/>
      <c r="B217" s="4" t="s">
        <v>416</v>
      </c>
      <c r="C217" s="4" t="s">
        <v>28</v>
      </c>
      <c r="D217" s="4" t="s">
        <v>18</v>
      </c>
      <c r="E217" s="3" t="s">
        <v>47</v>
      </c>
      <c r="F217" s="3" t="s">
        <v>42</v>
      </c>
      <c r="G217" s="3" t="s">
        <v>417</v>
      </c>
      <c r="H217" s="3">
        <v>1830.0</v>
      </c>
      <c r="I217" s="3" t="str">
        <f>IF(DB!$H217&gt;1000,LEFT(DB!$H217,2)+1,LEFT(DB!$H217,1)+1)</f>
        <v>19</v>
      </c>
      <c r="J217" s="3" t="s">
        <v>57</v>
      </c>
      <c r="K217" s="3" t="s">
        <v>23</v>
      </c>
      <c r="L217" s="3" t="s">
        <v>24</v>
      </c>
      <c r="M217" s="3"/>
      <c r="N217" s="3">
        <v>512.0</v>
      </c>
      <c r="O217" s="5">
        <v>44222.0</v>
      </c>
      <c r="P217" s="3">
        <v>3.5</v>
      </c>
    </row>
    <row r="218" ht="14.25" customHeight="1">
      <c r="A218" s="3"/>
      <c r="B218" s="4" t="s">
        <v>418</v>
      </c>
      <c r="C218" s="4" t="s">
        <v>28</v>
      </c>
      <c r="D218" s="4" t="s">
        <v>18</v>
      </c>
      <c r="E218" s="3" t="s">
        <v>90</v>
      </c>
      <c r="F218" s="3" t="s">
        <v>42</v>
      </c>
      <c r="G218" s="3" t="s">
        <v>419</v>
      </c>
      <c r="H218" s="3">
        <v>1774.0</v>
      </c>
      <c r="I218" s="3" t="str">
        <f>IF(DB!$H218&gt;1000,LEFT(DB!$H218,2)+1,LEFT(DB!$H218,1)+1)</f>
        <v>18</v>
      </c>
      <c r="J218" s="3" t="s">
        <v>165</v>
      </c>
      <c r="K218" s="3" t="s">
        <v>23</v>
      </c>
      <c r="L218" s="3" t="s">
        <v>24</v>
      </c>
      <c r="M218" s="3"/>
      <c r="N218" s="3">
        <v>264.0</v>
      </c>
      <c r="O218" s="5">
        <v>44228.0</v>
      </c>
      <c r="P218" s="3">
        <v>3.5</v>
      </c>
    </row>
    <row r="219" ht="14.25" customHeight="1">
      <c r="A219" s="3"/>
      <c r="B219" s="4" t="s">
        <v>420</v>
      </c>
      <c r="C219" s="4" t="s">
        <v>54</v>
      </c>
      <c r="D219" s="4" t="s">
        <v>18</v>
      </c>
      <c r="E219" s="3" t="s">
        <v>90</v>
      </c>
      <c r="F219" s="3" t="s">
        <v>42</v>
      </c>
      <c r="G219" s="3" t="s">
        <v>419</v>
      </c>
      <c r="H219" s="3">
        <v>1808.0</v>
      </c>
      <c r="I219" s="3" t="str">
        <f>IF(DB!$H219&gt;1000,LEFT(DB!$H219,2)+1,LEFT(DB!$H219,1)+1)</f>
        <v>19</v>
      </c>
      <c r="J219" s="3" t="s">
        <v>421</v>
      </c>
      <c r="K219" s="3" t="s">
        <v>23</v>
      </c>
      <c r="L219" s="3" t="s">
        <v>24</v>
      </c>
      <c r="M219" s="3"/>
      <c r="N219" s="3">
        <v>552.0</v>
      </c>
      <c r="O219" s="5">
        <v>44244.0</v>
      </c>
      <c r="P219" s="3">
        <v>4.5</v>
      </c>
    </row>
    <row r="220" ht="14.25" customHeight="1">
      <c r="A220" s="3"/>
      <c r="B220" s="4" t="s">
        <v>422</v>
      </c>
      <c r="C220" s="4" t="s">
        <v>54</v>
      </c>
      <c r="D220" s="4" t="s">
        <v>18</v>
      </c>
      <c r="E220" s="3" t="s">
        <v>90</v>
      </c>
      <c r="F220" s="3" t="s">
        <v>42</v>
      </c>
      <c r="G220" s="3" t="s">
        <v>419</v>
      </c>
      <c r="H220" s="3">
        <v>1832.0</v>
      </c>
      <c r="I220" s="3" t="str">
        <f>IF(DB!$H220&gt;1000,LEFT(DB!$H220,2)+1,LEFT(DB!$H220,1)+1)</f>
        <v>19</v>
      </c>
      <c r="J220" s="3" t="s">
        <v>421</v>
      </c>
      <c r="K220" s="3" t="s">
        <v>23</v>
      </c>
      <c r="L220" s="3" t="s">
        <v>24</v>
      </c>
      <c r="M220" s="3"/>
      <c r="N220" s="3">
        <v>1085.0</v>
      </c>
      <c r="O220" s="5">
        <v>44250.0</v>
      </c>
      <c r="P220" s="3">
        <v>4.5</v>
      </c>
    </row>
    <row r="221" ht="14.25" customHeight="1">
      <c r="A221" s="3"/>
      <c r="B221" s="4" t="s">
        <v>423</v>
      </c>
      <c r="C221" s="4" t="s">
        <v>424</v>
      </c>
      <c r="D221" s="4" t="s">
        <v>60</v>
      </c>
      <c r="E221" s="3" t="s">
        <v>36</v>
      </c>
      <c r="F221" s="3" t="s">
        <v>37</v>
      </c>
      <c r="G221" s="3" t="s">
        <v>425</v>
      </c>
      <c r="H221" s="3">
        <v>1997.0</v>
      </c>
      <c r="I221" s="3" t="str">
        <f>IF(DB!$H221&gt;1000,LEFT(DB!$H221,2)+1,LEFT(DB!$H221,1)+1)</f>
        <v>20</v>
      </c>
      <c r="J221" s="3" t="s">
        <v>426</v>
      </c>
      <c r="K221" s="3" t="s">
        <v>23</v>
      </c>
      <c r="L221" s="3" t="s">
        <v>24</v>
      </c>
      <c r="M221" s="3"/>
      <c r="N221" s="3">
        <v>430.0</v>
      </c>
      <c r="O221" s="5">
        <v>44260.0</v>
      </c>
      <c r="P221" s="3">
        <v>4.0</v>
      </c>
    </row>
    <row r="222" ht="14.25" customHeight="1">
      <c r="A222" s="3"/>
      <c r="B222" s="4" t="s">
        <v>427</v>
      </c>
      <c r="C222" s="4" t="s">
        <v>28</v>
      </c>
      <c r="D222" s="4" t="s">
        <v>18</v>
      </c>
      <c r="E222" s="3" t="s">
        <v>19</v>
      </c>
      <c r="F222" s="3" t="s">
        <v>20</v>
      </c>
      <c r="G222" s="3" t="s">
        <v>428</v>
      </c>
      <c r="H222" s="3">
        <v>2019.0</v>
      </c>
      <c r="I222" s="3" t="str">
        <f>IF(DB!$H222&gt;1000,LEFT(DB!$H222,2)+1,LEFT(DB!$H222,1)+1)</f>
        <v>21</v>
      </c>
      <c r="J222" s="3" t="s">
        <v>374</v>
      </c>
      <c r="K222" s="3" t="s">
        <v>23</v>
      </c>
      <c r="L222" s="3" t="s">
        <v>34</v>
      </c>
      <c r="M222" s="3"/>
      <c r="N222" s="3">
        <v>264.0</v>
      </c>
      <c r="O222" s="5">
        <v>44265.0</v>
      </c>
      <c r="P222" s="3">
        <v>5.0</v>
      </c>
    </row>
    <row r="223" ht="14.25" customHeight="1">
      <c r="A223" s="3"/>
      <c r="B223" s="4" t="s">
        <v>429</v>
      </c>
      <c r="C223" s="4" t="s">
        <v>28</v>
      </c>
      <c r="D223" s="4" t="s">
        <v>18</v>
      </c>
      <c r="E223" s="3" t="s">
        <v>176</v>
      </c>
      <c r="F223" s="3" t="s">
        <v>177</v>
      </c>
      <c r="G223" s="3" t="s">
        <v>351</v>
      </c>
      <c r="H223" s="3">
        <v>1880.0</v>
      </c>
      <c r="I223" s="3" t="str">
        <f>IF(DB!$H223&gt;1000,LEFT(DB!$H223,2)+1,LEFT(DB!$H223,1)+1)</f>
        <v>19</v>
      </c>
      <c r="J223" s="3" t="s">
        <v>213</v>
      </c>
      <c r="K223" s="3" t="s">
        <v>23</v>
      </c>
      <c r="L223" s="3" t="s">
        <v>24</v>
      </c>
      <c r="M223" s="3"/>
      <c r="N223" s="3">
        <v>911.0</v>
      </c>
      <c r="O223" s="5">
        <v>44282.0</v>
      </c>
      <c r="P223" s="3">
        <v>4.5</v>
      </c>
    </row>
    <row r="224" ht="14.25" customHeight="1">
      <c r="A224" s="3"/>
      <c r="B224" s="4" t="s">
        <v>430</v>
      </c>
      <c r="C224" s="4" t="s">
        <v>28</v>
      </c>
      <c r="D224" s="4" t="s">
        <v>18</v>
      </c>
      <c r="E224" s="3" t="s">
        <v>176</v>
      </c>
      <c r="F224" s="3" t="s">
        <v>177</v>
      </c>
      <c r="G224" s="3" t="s">
        <v>431</v>
      </c>
      <c r="H224" s="3">
        <v>1955.0</v>
      </c>
      <c r="I224" s="3" t="str">
        <f>IF(DB!$H224&gt;1000,LEFT(DB!$H224,2)+1,LEFT(DB!$H224,1)+1)</f>
        <v>20</v>
      </c>
      <c r="J224" s="3" t="s">
        <v>391</v>
      </c>
      <c r="K224" s="3" t="s">
        <v>23</v>
      </c>
      <c r="L224" s="3" t="s">
        <v>24</v>
      </c>
      <c r="M224" s="3"/>
      <c r="N224" s="3">
        <v>392.0</v>
      </c>
      <c r="O224" s="5">
        <v>44292.0</v>
      </c>
      <c r="P224" s="3">
        <v>5.0</v>
      </c>
    </row>
    <row r="225" ht="14.25" customHeight="1">
      <c r="A225" s="3"/>
      <c r="B225" s="4" t="s">
        <v>432</v>
      </c>
      <c r="C225" s="4" t="s">
        <v>28</v>
      </c>
      <c r="D225" s="4" t="s">
        <v>18</v>
      </c>
      <c r="E225" s="3" t="s">
        <v>433</v>
      </c>
      <c r="F225" s="3" t="s">
        <v>20</v>
      </c>
      <c r="G225" s="3" t="s">
        <v>434</v>
      </c>
      <c r="H225" s="3">
        <v>1996.0</v>
      </c>
      <c r="I225" s="3" t="str">
        <f>IF(DB!$H225&gt;1000,LEFT(DB!$H225,2)+1,LEFT(DB!$H225,1)+1)</f>
        <v>20</v>
      </c>
      <c r="J225" s="3" t="s">
        <v>421</v>
      </c>
      <c r="K225" s="3" t="s">
        <v>23</v>
      </c>
      <c r="L225" s="3" t="s">
        <v>34</v>
      </c>
      <c r="M225" s="3"/>
      <c r="N225" s="3">
        <v>240.0</v>
      </c>
      <c r="O225" s="5">
        <v>44294.0</v>
      </c>
      <c r="P225" s="3">
        <v>4.0</v>
      </c>
    </row>
    <row r="226" ht="14.25" customHeight="1">
      <c r="A226" s="3"/>
      <c r="B226" s="4" t="s">
        <v>435</v>
      </c>
      <c r="C226" s="4" t="s">
        <v>28</v>
      </c>
      <c r="D226" s="4" t="s">
        <v>18</v>
      </c>
      <c r="E226" s="3" t="s">
        <v>47</v>
      </c>
      <c r="F226" s="3" t="s">
        <v>42</v>
      </c>
      <c r="G226" s="3" t="s">
        <v>436</v>
      </c>
      <c r="H226" s="3">
        <v>1844.0</v>
      </c>
      <c r="I226" s="3" t="str">
        <f>IF(DB!$H226&gt;1000,LEFT(DB!$H226,2)+1,LEFT(DB!$H226,1)+1)</f>
        <v>19</v>
      </c>
      <c r="J226" s="3" t="s">
        <v>213</v>
      </c>
      <c r="K226" s="3" t="s">
        <v>23</v>
      </c>
      <c r="L226" s="3" t="s">
        <v>34</v>
      </c>
      <c r="M226" s="3"/>
      <c r="N226" s="3">
        <v>1304.0</v>
      </c>
      <c r="O226" s="5">
        <v>44315.0</v>
      </c>
      <c r="P226" s="3">
        <v>4.5</v>
      </c>
    </row>
    <row r="227" ht="14.25" customHeight="1">
      <c r="A227" s="3"/>
      <c r="B227" s="4" t="s">
        <v>437</v>
      </c>
      <c r="C227" s="4" t="s">
        <v>28</v>
      </c>
      <c r="D227" s="4" t="s">
        <v>18</v>
      </c>
      <c r="E227" s="3" t="s">
        <v>438</v>
      </c>
      <c r="F227" s="3" t="s">
        <v>20</v>
      </c>
      <c r="G227" s="3" t="s">
        <v>439</v>
      </c>
      <c r="H227" s="3">
        <v>1955.0</v>
      </c>
      <c r="I227" s="3" t="str">
        <f>IF(DB!$H227&gt;1000,LEFT(DB!$H227,2)+1,LEFT(DB!$H227,1)+1)</f>
        <v>20</v>
      </c>
      <c r="J227" s="3" t="s">
        <v>118</v>
      </c>
      <c r="K227" s="3" t="s">
        <v>23</v>
      </c>
      <c r="L227" s="3" t="s">
        <v>24</v>
      </c>
      <c r="M227" s="3"/>
      <c r="N227" s="3">
        <v>176.0</v>
      </c>
      <c r="O227" s="5">
        <v>44324.0</v>
      </c>
      <c r="P227" s="3">
        <v>4.0</v>
      </c>
    </row>
    <row r="228" ht="14.25" customHeight="1">
      <c r="A228" s="3"/>
      <c r="B228" s="4" t="s">
        <v>440</v>
      </c>
      <c r="C228" s="4" t="s">
        <v>28</v>
      </c>
      <c r="D228" s="4" t="s">
        <v>18</v>
      </c>
      <c r="E228" s="3" t="s">
        <v>383</v>
      </c>
      <c r="F228" s="3" t="s">
        <v>42</v>
      </c>
      <c r="G228" s="3" t="s">
        <v>390</v>
      </c>
      <c r="H228" s="3">
        <v>1987.0</v>
      </c>
      <c r="I228" s="3" t="str">
        <f>IF(DB!$H228&gt;1000,LEFT(DB!$H228,2)+1,LEFT(DB!$H228,1)+1)</f>
        <v>20</v>
      </c>
      <c r="J228" s="3" t="s">
        <v>391</v>
      </c>
      <c r="K228" s="3" t="s">
        <v>23</v>
      </c>
      <c r="L228" s="3" t="s">
        <v>24</v>
      </c>
      <c r="M228" s="3"/>
      <c r="N228" s="3">
        <v>360.0</v>
      </c>
      <c r="O228" s="5">
        <v>44328.0</v>
      </c>
      <c r="P228" s="3">
        <v>4.0</v>
      </c>
    </row>
    <row r="229" ht="14.25" customHeight="1">
      <c r="A229" s="3"/>
      <c r="B229" s="4" t="s">
        <v>441</v>
      </c>
      <c r="C229" s="4" t="s">
        <v>28</v>
      </c>
      <c r="D229" s="4" t="s">
        <v>18</v>
      </c>
      <c r="E229" s="3" t="s">
        <v>235</v>
      </c>
      <c r="F229" s="3" t="s">
        <v>42</v>
      </c>
      <c r="G229" s="3" t="s">
        <v>442</v>
      </c>
      <c r="H229" s="3">
        <v>1605.0</v>
      </c>
      <c r="I229" s="3" t="str">
        <f>IF(DB!$H229&gt;1000,LEFT(DB!$H229,2)+1,LEFT(DB!$H229,1)+1)</f>
        <v>17</v>
      </c>
      <c r="J229" s="3" t="s">
        <v>213</v>
      </c>
      <c r="K229" s="3" t="s">
        <v>23</v>
      </c>
      <c r="L229" s="3" t="s">
        <v>24</v>
      </c>
      <c r="M229" s="3"/>
      <c r="N229" s="3">
        <v>1174.0</v>
      </c>
      <c r="O229" s="5">
        <v>44362.0</v>
      </c>
      <c r="P229" s="3">
        <v>4.5</v>
      </c>
    </row>
    <row r="230" ht="14.25" customHeight="1">
      <c r="A230" s="3"/>
      <c r="B230" s="4" t="s">
        <v>443</v>
      </c>
      <c r="C230" s="4" t="s">
        <v>110</v>
      </c>
      <c r="D230" s="4" t="s">
        <v>18</v>
      </c>
      <c r="E230" s="3" t="s">
        <v>47</v>
      </c>
      <c r="F230" s="3" t="s">
        <v>42</v>
      </c>
      <c r="G230" s="3" t="s">
        <v>444</v>
      </c>
      <c r="H230" s="3">
        <v>1943.0</v>
      </c>
      <c r="I230" s="3" t="str">
        <f>IF(DB!$H230&gt;1000,LEFT(DB!$H230,2)+1,LEFT(DB!$H230,1)+1)</f>
        <v>20</v>
      </c>
      <c r="J230" s="3" t="s">
        <v>445</v>
      </c>
      <c r="K230" s="3" t="s">
        <v>23</v>
      </c>
      <c r="L230" s="3" t="s">
        <v>24</v>
      </c>
      <c r="M230" s="3"/>
      <c r="N230" s="3">
        <v>96.0</v>
      </c>
      <c r="O230" s="5">
        <v>44363.0</v>
      </c>
      <c r="P230" s="3">
        <v>4.0</v>
      </c>
    </row>
    <row r="231" ht="14.25" customHeight="1">
      <c r="A231" s="3"/>
      <c r="B231" s="4" t="s">
        <v>446</v>
      </c>
      <c r="C231" s="4" t="s">
        <v>110</v>
      </c>
      <c r="D231" s="4" t="s">
        <v>18</v>
      </c>
      <c r="E231" s="3" t="s">
        <v>447</v>
      </c>
      <c r="F231" s="3" t="s">
        <v>448</v>
      </c>
      <c r="G231" s="3" t="s">
        <v>79</v>
      </c>
      <c r="H231" s="3">
        <v>800.0</v>
      </c>
      <c r="I231" s="3" t="str">
        <f>IF(DB!$H231&gt;1000,LEFT(DB!$H231,2)+1,LEFT(DB!$H231,1)+1)</f>
        <v>9</v>
      </c>
      <c r="J231" s="3" t="s">
        <v>207</v>
      </c>
      <c r="K231" s="3" t="s">
        <v>79</v>
      </c>
      <c r="L231" s="3" t="s">
        <v>79</v>
      </c>
      <c r="M231" s="3"/>
      <c r="N231" s="3">
        <v>464.0</v>
      </c>
      <c r="O231" s="5">
        <v>44376.0</v>
      </c>
      <c r="P231" s="3">
        <v>4.0</v>
      </c>
    </row>
    <row r="232" ht="14.25" customHeight="1">
      <c r="A232" s="3"/>
      <c r="B232" s="4" t="s">
        <v>449</v>
      </c>
      <c r="C232" s="4" t="s">
        <v>316</v>
      </c>
      <c r="D232" s="4" t="s">
        <v>60</v>
      </c>
      <c r="E232" s="3" t="s">
        <v>36</v>
      </c>
      <c r="F232" s="3" t="s">
        <v>37</v>
      </c>
      <c r="G232" s="3" t="s">
        <v>450</v>
      </c>
      <c r="H232" s="3">
        <v>2008.0</v>
      </c>
      <c r="I232" s="3" t="str">
        <f>IF(DB!$H232&gt;1000,LEFT(DB!$H232,2)+1,LEFT(DB!$H232,1)+1)</f>
        <v>21</v>
      </c>
      <c r="J232" s="3" t="s">
        <v>49</v>
      </c>
      <c r="K232" s="3" t="s">
        <v>23</v>
      </c>
      <c r="L232" s="3" t="s">
        <v>24</v>
      </c>
      <c r="M232" s="3"/>
      <c r="N232" s="3">
        <v>324.0</v>
      </c>
      <c r="O232" s="5">
        <v>44379.0</v>
      </c>
      <c r="P232" s="3">
        <v>4.5</v>
      </c>
    </row>
    <row r="233" ht="14.25" customHeight="1">
      <c r="A233" s="3"/>
      <c r="B233" s="4" t="s">
        <v>451</v>
      </c>
      <c r="C233" s="4" t="s">
        <v>28</v>
      </c>
      <c r="D233" s="4" t="s">
        <v>18</v>
      </c>
      <c r="E233" s="3" t="s">
        <v>383</v>
      </c>
      <c r="F233" s="3" t="s">
        <v>177</v>
      </c>
      <c r="G233" s="3" t="s">
        <v>452</v>
      </c>
      <c r="H233" s="3">
        <v>2018.0</v>
      </c>
      <c r="I233" s="3" t="str">
        <f>IF(DB!$H233&gt;1000,LEFT(DB!$H233,2)+1,LEFT(DB!$H233,1)+1)</f>
        <v>21</v>
      </c>
      <c r="J233" s="3" t="s">
        <v>453</v>
      </c>
      <c r="K233" s="3" t="s">
        <v>33</v>
      </c>
      <c r="L233" s="3" t="s">
        <v>24</v>
      </c>
      <c r="M233" s="3"/>
      <c r="N233" s="3">
        <v>366.0</v>
      </c>
      <c r="O233" s="5">
        <v>44382.0</v>
      </c>
      <c r="P233" s="3">
        <v>4.0</v>
      </c>
    </row>
    <row r="234" ht="14.25" customHeight="1">
      <c r="A234" s="3"/>
      <c r="B234" s="4" t="s">
        <v>454</v>
      </c>
      <c r="C234" s="4" t="s">
        <v>28</v>
      </c>
      <c r="D234" s="4" t="s">
        <v>18</v>
      </c>
      <c r="E234" s="3" t="s">
        <v>36</v>
      </c>
      <c r="F234" s="3" t="s">
        <v>37</v>
      </c>
      <c r="G234" s="3" t="s">
        <v>455</v>
      </c>
      <c r="H234" s="3">
        <v>2018.0</v>
      </c>
      <c r="I234" s="3" t="str">
        <f>IF(DB!$H234&gt;1000,LEFT(DB!$H234,2)+1,LEFT(DB!$H234,1)+1)</f>
        <v>21</v>
      </c>
      <c r="J234" s="3" t="s">
        <v>321</v>
      </c>
      <c r="K234" s="3" t="s">
        <v>33</v>
      </c>
      <c r="L234" s="3" t="s">
        <v>24</v>
      </c>
      <c r="M234" s="3"/>
      <c r="N234" s="3">
        <v>368.0</v>
      </c>
      <c r="O234" s="5">
        <v>44387.0</v>
      </c>
      <c r="P234" s="3">
        <v>4.0</v>
      </c>
    </row>
    <row r="235" ht="14.25" customHeight="1">
      <c r="A235" s="3"/>
      <c r="B235" s="4" t="s">
        <v>456</v>
      </c>
      <c r="C235" s="4" t="s">
        <v>28</v>
      </c>
      <c r="D235" s="4" t="s">
        <v>18</v>
      </c>
      <c r="E235" s="3" t="s">
        <v>283</v>
      </c>
      <c r="F235" s="3" t="s">
        <v>20</v>
      </c>
      <c r="G235" s="3" t="s">
        <v>284</v>
      </c>
      <c r="H235" s="3">
        <v>1981.0</v>
      </c>
      <c r="I235" s="3" t="str">
        <f>IF(DB!$H235&gt;1000,LEFT(DB!$H235,2)+1,LEFT(DB!$H235,1)+1)</f>
        <v>20</v>
      </c>
      <c r="J235" s="3" t="s">
        <v>230</v>
      </c>
      <c r="K235" s="3" t="s">
        <v>23</v>
      </c>
      <c r="L235" s="3" t="s">
        <v>24</v>
      </c>
      <c r="M235" s="3"/>
      <c r="N235" s="3">
        <v>160.0</v>
      </c>
      <c r="O235" s="5">
        <v>44391.0</v>
      </c>
      <c r="P235" s="3">
        <v>4.5</v>
      </c>
    </row>
    <row r="236" ht="14.25" customHeight="1">
      <c r="A236" s="3"/>
      <c r="B236" s="4" t="s">
        <v>457</v>
      </c>
      <c r="C236" s="4" t="s">
        <v>28</v>
      </c>
      <c r="D236" s="4" t="s">
        <v>18</v>
      </c>
      <c r="E236" s="3" t="s">
        <v>458</v>
      </c>
      <c r="F236" s="3" t="s">
        <v>20</v>
      </c>
      <c r="G236" s="3" t="s">
        <v>459</v>
      </c>
      <c r="H236" s="3">
        <v>2007.0</v>
      </c>
      <c r="I236" s="3" t="str">
        <f>IF(DB!$H236&gt;1000,LEFT(DB!$H236,2)+1,LEFT(DB!$H236,1)+1)</f>
        <v>21</v>
      </c>
      <c r="J236" s="3" t="s">
        <v>460</v>
      </c>
      <c r="K236" s="3" t="s">
        <v>33</v>
      </c>
      <c r="L236" s="3" t="s">
        <v>34</v>
      </c>
      <c r="M236" s="3"/>
      <c r="N236" s="3">
        <v>142.0</v>
      </c>
      <c r="O236" s="5">
        <v>44395.0</v>
      </c>
      <c r="P236" s="3">
        <v>4.0</v>
      </c>
    </row>
    <row r="237" ht="14.25" customHeight="1">
      <c r="A237" s="3"/>
      <c r="B237" s="4" t="s">
        <v>461</v>
      </c>
      <c r="C237" s="4" t="s">
        <v>28</v>
      </c>
      <c r="D237" s="4" t="s">
        <v>18</v>
      </c>
      <c r="E237" s="3" t="s">
        <v>462</v>
      </c>
      <c r="F237" s="3" t="s">
        <v>20</v>
      </c>
      <c r="G237" s="3" t="s">
        <v>463</v>
      </c>
      <c r="H237" s="3">
        <v>1969.0</v>
      </c>
      <c r="I237" s="3" t="str">
        <f>IF(DB!$H237&gt;1000,LEFT(DB!$H237,2)+1,LEFT(DB!$H237,1)+1)</f>
        <v>20</v>
      </c>
      <c r="J237" s="3" t="s">
        <v>391</v>
      </c>
      <c r="K237" s="3" t="s">
        <v>23</v>
      </c>
      <c r="L237" s="3" t="s">
        <v>24</v>
      </c>
      <c r="M237" s="3"/>
      <c r="N237" s="3">
        <v>584.0</v>
      </c>
      <c r="O237" s="5">
        <v>44417.0</v>
      </c>
      <c r="P237" s="3">
        <v>5.0</v>
      </c>
    </row>
    <row r="238" ht="14.25" customHeight="1">
      <c r="A238" s="3"/>
      <c r="B238" s="4" t="s">
        <v>464</v>
      </c>
      <c r="C238" s="4" t="s">
        <v>465</v>
      </c>
      <c r="D238" s="4" t="s">
        <v>60</v>
      </c>
      <c r="E238" s="3" t="s">
        <v>19</v>
      </c>
      <c r="F238" s="3" t="s">
        <v>20</v>
      </c>
      <c r="G238" s="3" t="s">
        <v>466</v>
      </c>
      <c r="H238" s="3">
        <v>2018.0</v>
      </c>
      <c r="I238" s="3" t="str">
        <f>IF(DB!$H238&gt;1000,LEFT(DB!$H238,2)+1,LEFT(DB!$H238,1)+1)</f>
        <v>21</v>
      </c>
      <c r="J238" s="3" t="s">
        <v>279</v>
      </c>
      <c r="K238" s="3" t="s">
        <v>33</v>
      </c>
      <c r="L238" s="3" t="s">
        <v>24</v>
      </c>
      <c r="M238" s="3"/>
      <c r="N238" s="3">
        <v>296.0</v>
      </c>
      <c r="O238" s="5">
        <v>44420.0</v>
      </c>
      <c r="P238" s="3">
        <v>4.0</v>
      </c>
    </row>
    <row r="239" ht="14.25" customHeight="1">
      <c r="A239" s="3"/>
      <c r="B239" s="4" t="s">
        <v>467</v>
      </c>
      <c r="C239" s="4" t="s">
        <v>28</v>
      </c>
      <c r="D239" s="4" t="s">
        <v>18</v>
      </c>
      <c r="E239" s="3" t="s">
        <v>140</v>
      </c>
      <c r="F239" s="3" t="s">
        <v>42</v>
      </c>
      <c r="G239" s="3" t="s">
        <v>468</v>
      </c>
      <c r="H239" s="3">
        <v>2016.0</v>
      </c>
      <c r="I239" s="3" t="str">
        <f>IF(DB!$H239&gt;1000,LEFT(DB!$H239,2)+1,LEFT(DB!$H239,1)+1)</f>
        <v>21</v>
      </c>
      <c r="J239" s="3" t="s">
        <v>469</v>
      </c>
      <c r="K239" s="3" t="s">
        <v>23</v>
      </c>
      <c r="L239" s="3" t="s">
        <v>24</v>
      </c>
      <c r="M239" s="3"/>
      <c r="N239" s="3">
        <v>96.0</v>
      </c>
      <c r="O239" s="5">
        <v>44421.0</v>
      </c>
      <c r="P239" s="3">
        <v>4.5</v>
      </c>
    </row>
    <row r="240" ht="14.25" customHeight="1">
      <c r="A240" s="3"/>
      <c r="B240" s="4" t="s">
        <v>470</v>
      </c>
      <c r="C240" s="4" t="s">
        <v>28</v>
      </c>
      <c r="D240" s="4" t="s">
        <v>18</v>
      </c>
      <c r="E240" s="3" t="s">
        <v>41</v>
      </c>
      <c r="F240" s="3" t="s">
        <v>42</v>
      </c>
      <c r="G240" s="3" t="s">
        <v>471</v>
      </c>
      <c r="H240" s="3">
        <v>1818.0</v>
      </c>
      <c r="I240" s="3" t="str">
        <f>IF(DB!$H240&gt;1000,LEFT(DB!$H240,2)+1,LEFT(DB!$H240,1)+1)</f>
        <v>19</v>
      </c>
      <c r="J240" s="3" t="s">
        <v>356</v>
      </c>
      <c r="K240" s="3" t="s">
        <v>33</v>
      </c>
      <c r="L240" s="3" t="s">
        <v>24</v>
      </c>
      <c r="M240" s="3"/>
      <c r="N240" s="3">
        <v>424.0</v>
      </c>
      <c r="O240" s="5">
        <v>44426.0</v>
      </c>
      <c r="P240" s="3">
        <v>3.5</v>
      </c>
    </row>
    <row r="241" ht="14.25" customHeight="1">
      <c r="A241" s="3"/>
      <c r="B241" s="4" t="s">
        <v>472</v>
      </c>
      <c r="C241" s="4" t="s">
        <v>28</v>
      </c>
      <c r="D241" s="4" t="s">
        <v>18</v>
      </c>
      <c r="E241" s="3" t="s">
        <v>140</v>
      </c>
      <c r="F241" s="3" t="s">
        <v>42</v>
      </c>
      <c r="G241" s="3" t="s">
        <v>141</v>
      </c>
      <c r="H241" s="3">
        <v>1982.0</v>
      </c>
      <c r="I241" s="3" t="str">
        <f>IF(DB!$H241&gt;1000,LEFT(DB!$H241,2)+1,LEFT(DB!$H241,1)+1)</f>
        <v>20</v>
      </c>
      <c r="J241" s="3" t="s">
        <v>67</v>
      </c>
      <c r="K241" s="3" t="s">
        <v>23</v>
      </c>
      <c r="L241" s="3" t="s">
        <v>24</v>
      </c>
      <c r="M241" s="3"/>
      <c r="N241" s="3">
        <v>408.0</v>
      </c>
      <c r="O241" s="5">
        <v>44438.0</v>
      </c>
      <c r="P241" s="3">
        <v>4.5</v>
      </c>
    </row>
    <row r="242" ht="14.25" customHeight="1">
      <c r="A242" s="3"/>
      <c r="B242" s="4" t="s">
        <v>473</v>
      </c>
      <c r="C242" s="4" t="s">
        <v>28</v>
      </c>
      <c r="D242" s="4" t="s">
        <v>18</v>
      </c>
      <c r="E242" s="3" t="s">
        <v>90</v>
      </c>
      <c r="F242" s="3" t="s">
        <v>42</v>
      </c>
      <c r="G242" s="3" t="s">
        <v>474</v>
      </c>
      <c r="H242" s="3">
        <v>1927.0</v>
      </c>
      <c r="I242" s="3" t="str">
        <f>IF(DB!$H242&gt;1000,LEFT(DB!$H242,2)+1,LEFT(DB!$H242,1)+1)</f>
        <v>20</v>
      </c>
      <c r="J242" s="3" t="s">
        <v>230</v>
      </c>
      <c r="K242" s="3" t="s">
        <v>23</v>
      </c>
      <c r="L242" s="3" t="s">
        <v>24</v>
      </c>
      <c r="M242" s="3"/>
      <c r="N242" s="3">
        <v>252.0</v>
      </c>
      <c r="O242" s="5">
        <v>44441.0</v>
      </c>
      <c r="P242" s="3">
        <v>3.5</v>
      </c>
    </row>
    <row r="243" ht="14.25" customHeight="1">
      <c r="A243" s="3"/>
      <c r="B243" s="4" t="s">
        <v>475</v>
      </c>
      <c r="C243" s="4" t="s">
        <v>28</v>
      </c>
      <c r="D243" s="4" t="s">
        <v>18</v>
      </c>
      <c r="E243" s="3" t="s">
        <v>19</v>
      </c>
      <c r="F243" s="3" t="s">
        <v>20</v>
      </c>
      <c r="G243" s="3" t="s">
        <v>476</v>
      </c>
      <c r="H243" s="3">
        <v>1977.0</v>
      </c>
      <c r="I243" s="3" t="str">
        <f>IF(DB!$H243&gt;1000,LEFT(DB!$H243,2)+1,LEFT(DB!$H243,1)+1)</f>
        <v>20</v>
      </c>
      <c r="J243" s="3" t="s">
        <v>72</v>
      </c>
      <c r="K243" s="3" t="s">
        <v>33</v>
      </c>
      <c r="L243" s="3" t="s">
        <v>24</v>
      </c>
      <c r="M243" s="3"/>
      <c r="N243" s="3">
        <v>88.0</v>
      </c>
      <c r="O243" s="5">
        <v>44447.0</v>
      </c>
      <c r="P243" s="3">
        <v>3.5</v>
      </c>
    </row>
    <row r="244" ht="14.25" customHeight="1">
      <c r="A244" s="3"/>
      <c r="B244" s="4" t="s">
        <v>477</v>
      </c>
      <c r="C244" s="4" t="s">
        <v>28</v>
      </c>
      <c r="D244" s="4" t="s">
        <v>18</v>
      </c>
      <c r="E244" s="3" t="s">
        <v>19</v>
      </c>
      <c r="F244" s="3" t="s">
        <v>20</v>
      </c>
      <c r="G244" s="3" t="s">
        <v>478</v>
      </c>
      <c r="H244" s="3">
        <v>1911.0</v>
      </c>
      <c r="I244" s="3" t="str">
        <f>IF(DB!$H244&gt;1000,LEFT(DB!$H244,2)+1,LEFT(DB!$H244,1)+1)</f>
        <v>20</v>
      </c>
      <c r="J244" s="3" t="s">
        <v>165</v>
      </c>
      <c r="K244" s="3" t="s">
        <v>23</v>
      </c>
      <c r="L244" s="3" t="s">
        <v>34</v>
      </c>
      <c r="M244" s="3"/>
      <c r="N244" s="3">
        <v>432.0</v>
      </c>
      <c r="O244" s="5">
        <v>44455.0</v>
      </c>
      <c r="P244" s="3">
        <v>4.0</v>
      </c>
    </row>
    <row r="245" ht="14.25" customHeight="1">
      <c r="A245" s="3"/>
      <c r="B245" s="4" t="s">
        <v>479</v>
      </c>
      <c r="C245" s="4" t="s">
        <v>28</v>
      </c>
      <c r="D245" s="4" t="s">
        <v>18</v>
      </c>
      <c r="E245" s="3" t="s">
        <v>462</v>
      </c>
      <c r="F245" s="3" t="s">
        <v>20</v>
      </c>
      <c r="G245" s="3" t="s">
        <v>463</v>
      </c>
      <c r="H245" s="3">
        <v>2006.0</v>
      </c>
      <c r="I245" s="3" t="str">
        <f>IF(DB!$H245&gt;1000,LEFT(DB!$H245,2)+1,LEFT(DB!$H245,1)+1)</f>
        <v>21</v>
      </c>
      <c r="J245" s="3" t="s">
        <v>391</v>
      </c>
      <c r="K245" s="3" t="s">
        <v>23</v>
      </c>
      <c r="L245" s="3" t="s">
        <v>24</v>
      </c>
      <c r="M245" s="3"/>
      <c r="N245" s="3">
        <v>304.0</v>
      </c>
      <c r="O245" s="5">
        <v>44461.0</v>
      </c>
      <c r="P245" s="3">
        <v>4.0</v>
      </c>
    </row>
    <row r="246" ht="14.25" customHeight="1">
      <c r="A246" s="3"/>
      <c r="B246" s="4" t="s">
        <v>480</v>
      </c>
      <c r="C246" s="4" t="s">
        <v>28</v>
      </c>
      <c r="D246" s="4" t="s">
        <v>18</v>
      </c>
      <c r="E246" s="3" t="s">
        <v>176</v>
      </c>
      <c r="F246" s="3" t="s">
        <v>177</v>
      </c>
      <c r="G246" s="3" t="s">
        <v>402</v>
      </c>
      <c r="H246" s="3">
        <v>1865.0</v>
      </c>
      <c r="I246" s="3" t="str">
        <f>IF(DB!$H246&gt;1000,LEFT(DB!$H246,2)+1,LEFT(DB!$H246,1)+1)</f>
        <v>19</v>
      </c>
      <c r="J246" s="3" t="s">
        <v>67</v>
      </c>
      <c r="K246" s="3" t="s">
        <v>23</v>
      </c>
      <c r="L246" s="3" t="s">
        <v>24</v>
      </c>
      <c r="M246" s="3"/>
      <c r="N246" s="3">
        <v>728.0</v>
      </c>
      <c r="O246" s="5">
        <v>44490.0</v>
      </c>
      <c r="P246" s="3">
        <v>3.5</v>
      </c>
    </row>
    <row r="247" ht="14.25" customHeight="1">
      <c r="A247" s="3"/>
      <c r="B247" s="4" t="s">
        <v>481</v>
      </c>
      <c r="C247" s="4" t="s">
        <v>93</v>
      </c>
      <c r="D247" s="4" t="s">
        <v>60</v>
      </c>
      <c r="E247" s="3" t="s">
        <v>36</v>
      </c>
      <c r="F247" s="3" t="s">
        <v>37</v>
      </c>
      <c r="G247" s="3" t="s">
        <v>482</v>
      </c>
      <c r="H247" s="3">
        <v>2010.0</v>
      </c>
      <c r="I247" s="3" t="str">
        <f>IF(DB!$H247&gt;1000,LEFT(DB!$H247,2)+1,LEFT(DB!$H247,1)+1)</f>
        <v>21</v>
      </c>
      <c r="J247" s="3" t="s">
        <v>67</v>
      </c>
      <c r="K247" s="3" t="s">
        <v>33</v>
      </c>
      <c r="L247" s="3" t="s">
        <v>24</v>
      </c>
      <c r="M247" s="3"/>
      <c r="N247" s="3">
        <v>280.0</v>
      </c>
      <c r="O247" s="5">
        <v>44503.0</v>
      </c>
      <c r="P247" s="3">
        <v>5.0</v>
      </c>
    </row>
    <row r="248" ht="14.25" customHeight="1">
      <c r="A248" s="3"/>
      <c r="B248" s="4" t="s">
        <v>483</v>
      </c>
      <c r="C248" s="4" t="s">
        <v>28</v>
      </c>
      <c r="D248" s="4" t="s">
        <v>18</v>
      </c>
      <c r="E248" s="3" t="s">
        <v>74</v>
      </c>
      <c r="F248" s="3" t="s">
        <v>42</v>
      </c>
      <c r="G248" s="3" t="s">
        <v>484</v>
      </c>
      <c r="H248" s="3">
        <v>2021.0</v>
      </c>
      <c r="I248" s="3" t="str">
        <f>IF(DB!$H248&gt;1000,LEFT(DB!$H248,2)+1,LEFT(DB!$H248,1)+1)</f>
        <v>21</v>
      </c>
      <c r="J248" s="3" t="s">
        <v>67</v>
      </c>
      <c r="K248" s="3" t="s">
        <v>33</v>
      </c>
      <c r="L248" s="3" t="s">
        <v>24</v>
      </c>
      <c r="M248" s="3"/>
      <c r="N248" s="3">
        <v>336.0</v>
      </c>
      <c r="O248" s="5">
        <v>44511.0</v>
      </c>
      <c r="P248" s="3">
        <v>4.0</v>
      </c>
    </row>
    <row r="249" ht="14.25" customHeight="1">
      <c r="A249" s="3"/>
      <c r="B249" s="4" t="s">
        <v>485</v>
      </c>
      <c r="C249" s="4" t="s">
        <v>28</v>
      </c>
      <c r="D249" s="4" t="s">
        <v>18</v>
      </c>
      <c r="E249" s="3" t="s">
        <v>19</v>
      </c>
      <c r="F249" s="3" t="s">
        <v>20</v>
      </c>
      <c r="G249" s="3" t="s">
        <v>486</v>
      </c>
      <c r="H249" s="3">
        <v>1859.0</v>
      </c>
      <c r="I249" s="3" t="str">
        <f>IF(DB!$H249&gt;1000,LEFT(DB!$H249,2)+1,LEFT(DB!$H249,1)+1)</f>
        <v>19</v>
      </c>
      <c r="J249" s="3" t="s">
        <v>32</v>
      </c>
      <c r="K249" s="3" t="s">
        <v>33</v>
      </c>
      <c r="L249" s="3" t="s">
        <v>34</v>
      </c>
      <c r="M249" s="3"/>
      <c r="N249" s="3">
        <v>226.0</v>
      </c>
      <c r="O249" s="5">
        <v>44518.0</v>
      </c>
      <c r="P249" s="3">
        <v>3.5</v>
      </c>
    </row>
    <row r="250" ht="14.25" customHeight="1">
      <c r="A250" s="3"/>
      <c r="B250" s="4" t="s">
        <v>487</v>
      </c>
      <c r="C250" s="4" t="s">
        <v>28</v>
      </c>
      <c r="D250" s="4" t="s">
        <v>18</v>
      </c>
      <c r="E250" s="3" t="s">
        <v>19</v>
      </c>
      <c r="F250" s="3" t="s">
        <v>20</v>
      </c>
      <c r="G250" s="3" t="s">
        <v>164</v>
      </c>
      <c r="H250" s="3">
        <v>1891.0</v>
      </c>
      <c r="I250" s="3" t="str">
        <f>IF(DB!$H250&gt;1000,LEFT(DB!$H250,2)+1,LEFT(DB!$H250,1)+1)</f>
        <v>19</v>
      </c>
      <c r="J250" s="3" t="s">
        <v>165</v>
      </c>
      <c r="K250" s="3" t="s">
        <v>23</v>
      </c>
      <c r="L250" s="3" t="s">
        <v>34</v>
      </c>
      <c r="M250" s="3"/>
      <c r="N250" s="3">
        <v>456.0</v>
      </c>
      <c r="O250" s="5">
        <v>44530.0</v>
      </c>
      <c r="P250" s="3">
        <v>3.5</v>
      </c>
    </row>
    <row r="251" ht="14.25" customHeight="1">
      <c r="A251" s="3"/>
      <c r="B251" s="4" t="s">
        <v>488</v>
      </c>
      <c r="C251" s="4" t="s">
        <v>28</v>
      </c>
      <c r="D251" s="4" t="s">
        <v>18</v>
      </c>
      <c r="E251" s="3" t="s">
        <v>74</v>
      </c>
      <c r="F251" s="3" t="s">
        <v>42</v>
      </c>
      <c r="G251" s="3" t="s">
        <v>484</v>
      </c>
      <c r="H251" s="3">
        <v>2018.0</v>
      </c>
      <c r="I251" s="3" t="str">
        <f>IF(DB!$H251&gt;1000,LEFT(DB!$H251,2)+1,LEFT(DB!$H251,1)+1)</f>
        <v>21</v>
      </c>
      <c r="J251" s="3" t="s">
        <v>67</v>
      </c>
      <c r="K251" s="3" t="s">
        <v>33</v>
      </c>
      <c r="L251" s="3" t="s">
        <v>24</v>
      </c>
      <c r="M251" s="3"/>
      <c r="N251" s="3">
        <v>264.0</v>
      </c>
      <c r="O251" s="5">
        <v>44543.0</v>
      </c>
      <c r="P251" s="3">
        <v>4.0</v>
      </c>
    </row>
    <row r="252" ht="14.25" customHeight="1">
      <c r="A252" s="3"/>
      <c r="B252" s="4" t="s">
        <v>489</v>
      </c>
      <c r="C252" s="4" t="s">
        <v>28</v>
      </c>
      <c r="D252" s="4" t="s">
        <v>18</v>
      </c>
      <c r="E252" s="3" t="s">
        <v>19</v>
      </c>
      <c r="F252" s="3" t="s">
        <v>20</v>
      </c>
      <c r="G252" s="3" t="s">
        <v>490</v>
      </c>
      <c r="H252" s="3">
        <v>2020.0</v>
      </c>
      <c r="I252" s="3" t="str">
        <f>IF(DB!$H252&gt;1000,LEFT(DB!$H252,2)+1,LEFT(DB!$H252,1)+1)</f>
        <v>21</v>
      </c>
      <c r="J252" s="3" t="s">
        <v>32</v>
      </c>
      <c r="K252" s="3" t="s">
        <v>23</v>
      </c>
      <c r="L252" s="3" t="s">
        <v>34</v>
      </c>
      <c r="M252" s="3"/>
      <c r="N252" s="3">
        <v>194.0</v>
      </c>
      <c r="O252" s="5">
        <v>44545.0</v>
      </c>
      <c r="P252" s="3">
        <v>5.0</v>
      </c>
    </row>
    <row r="253" ht="14.25" customHeight="1">
      <c r="A253" s="3"/>
      <c r="B253" s="4" t="s">
        <v>491</v>
      </c>
      <c r="C253" s="4" t="s">
        <v>492</v>
      </c>
      <c r="D253" s="4" t="s">
        <v>60</v>
      </c>
      <c r="E253" s="3" t="s">
        <v>493</v>
      </c>
      <c r="F253" s="3" t="s">
        <v>42</v>
      </c>
      <c r="G253" s="3" t="s">
        <v>494</v>
      </c>
      <c r="H253" s="3">
        <v>1980.0</v>
      </c>
      <c r="I253" s="3" t="str">
        <f>IF(DB!$H253&gt;1000,LEFT(DB!$H253,2)+1,LEFT(DB!$H253,1)+1)</f>
        <v>20</v>
      </c>
      <c r="J253" s="3" t="s">
        <v>67</v>
      </c>
      <c r="K253" s="3" t="s">
        <v>23</v>
      </c>
      <c r="L253" s="3" t="s">
        <v>24</v>
      </c>
      <c r="M253" s="3"/>
      <c r="N253" s="3">
        <v>296.0</v>
      </c>
      <c r="O253" s="5">
        <v>44548.0</v>
      </c>
      <c r="P253" s="3">
        <v>4.5</v>
      </c>
    </row>
    <row r="254" ht="14.25" customHeight="1">
      <c r="A254" s="3"/>
      <c r="B254" s="4" t="s">
        <v>495</v>
      </c>
      <c r="C254" s="4" t="s">
        <v>28</v>
      </c>
      <c r="D254" s="4" t="s">
        <v>18</v>
      </c>
      <c r="E254" s="3" t="s">
        <v>383</v>
      </c>
      <c r="F254" s="3" t="s">
        <v>177</v>
      </c>
      <c r="G254" s="3" t="s">
        <v>390</v>
      </c>
      <c r="H254" s="3">
        <v>2002.0</v>
      </c>
      <c r="I254" s="3" t="str">
        <f>IF(DB!$H254&gt;1000,LEFT(DB!$H254,2)+1,LEFT(DB!$H254,1)+1)</f>
        <v>21</v>
      </c>
      <c r="J254" s="3" t="s">
        <v>391</v>
      </c>
      <c r="K254" s="3" t="s">
        <v>23</v>
      </c>
      <c r="L254" s="3" t="s">
        <v>24</v>
      </c>
      <c r="M254" s="3"/>
      <c r="N254" s="3">
        <v>576.0</v>
      </c>
      <c r="O254" s="5">
        <v>44592.0</v>
      </c>
      <c r="P254" s="3">
        <v>3.5</v>
      </c>
    </row>
    <row r="255" ht="14.25" customHeight="1">
      <c r="A255" s="3"/>
      <c r="B255" s="4" t="s">
        <v>496</v>
      </c>
      <c r="C255" s="4" t="s">
        <v>110</v>
      </c>
      <c r="D255" s="4" t="s">
        <v>18</v>
      </c>
      <c r="E255" s="3" t="s">
        <v>372</v>
      </c>
      <c r="F255" s="3" t="s">
        <v>42</v>
      </c>
      <c r="G255" s="3" t="s">
        <v>373</v>
      </c>
      <c r="H255" s="3">
        <v>2021.0</v>
      </c>
      <c r="I255" s="3" t="str">
        <f>IF(DB!$H255&gt;1000,LEFT(DB!$H255,2)+1,LEFT(DB!$H255,1)+1)</f>
        <v>21</v>
      </c>
      <c r="J255" s="3" t="s">
        <v>374</v>
      </c>
      <c r="K255" s="3" t="s">
        <v>33</v>
      </c>
      <c r="L255" s="3" t="s">
        <v>24</v>
      </c>
      <c r="M255" s="3"/>
      <c r="N255" s="3">
        <v>400.0</v>
      </c>
      <c r="O255" s="5">
        <v>44609.0</v>
      </c>
      <c r="P255" s="3">
        <v>3.5</v>
      </c>
    </row>
    <row r="256" ht="14.25" customHeight="1">
      <c r="A256" s="3"/>
      <c r="B256" s="4" t="s">
        <v>497</v>
      </c>
      <c r="C256" s="4" t="s">
        <v>28</v>
      </c>
      <c r="D256" s="4" t="s">
        <v>18</v>
      </c>
      <c r="E256" s="3" t="s">
        <v>176</v>
      </c>
      <c r="F256" s="3" t="s">
        <v>177</v>
      </c>
      <c r="G256" s="3" t="s">
        <v>498</v>
      </c>
      <c r="H256" s="3">
        <v>1862.0</v>
      </c>
      <c r="I256" s="3" t="str">
        <f>IF(DB!$H256&gt;1000,LEFT(DB!$H256,2)+1,LEFT(DB!$H256,1)+1)</f>
        <v>19</v>
      </c>
      <c r="J256" s="3" t="s">
        <v>67</v>
      </c>
      <c r="K256" s="3" t="s">
        <v>23</v>
      </c>
      <c r="L256" s="3" t="s">
        <v>24</v>
      </c>
      <c r="M256" s="3"/>
      <c r="N256" s="3">
        <v>344.0</v>
      </c>
      <c r="O256" s="5">
        <v>44629.0</v>
      </c>
      <c r="P256" s="3">
        <v>4.0</v>
      </c>
    </row>
    <row r="257" ht="14.25" customHeight="1">
      <c r="A257" s="3"/>
      <c r="B257" s="4" t="s">
        <v>499</v>
      </c>
      <c r="C257" s="4" t="s">
        <v>28</v>
      </c>
      <c r="D257" s="4" t="s">
        <v>18</v>
      </c>
      <c r="E257" s="3" t="s">
        <v>36</v>
      </c>
      <c r="F257" s="3" t="s">
        <v>37</v>
      </c>
      <c r="G257" s="3" t="s">
        <v>99</v>
      </c>
      <c r="H257" s="3">
        <v>2019.0</v>
      </c>
      <c r="I257" s="3" t="str">
        <f>IF(DB!$H257&gt;1000,LEFT(DB!$H257,2)+1,LEFT(DB!$H257,1)+1)</f>
        <v>21</v>
      </c>
      <c r="J257" s="3" t="s">
        <v>500</v>
      </c>
      <c r="K257" s="3" t="s">
        <v>23</v>
      </c>
      <c r="L257" s="3" t="s">
        <v>24</v>
      </c>
      <c r="M257" s="3"/>
      <c r="N257" s="3">
        <v>664.0</v>
      </c>
      <c r="O257" s="5">
        <v>44658.0</v>
      </c>
      <c r="P257" s="3">
        <v>2.5</v>
      </c>
    </row>
    <row r="258" ht="14.25" customHeight="1">
      <c r="A258" s="3"/>
      <c r="B258" s="4" t="s">
        <v>501</v>
      </c>
      <c r="C258" s="4" t="s">
        <v>28</v>
      </c>
      <c r="D258" s="4" t="s">
        <v>18</v>
      </c>
      <c r="E258" s="3" t="s">
        <v>379</v>
      </c>
      <c r="F258" s="3" t="s">
        <v>20</v>
      </c>
      <c r="G258" s="3" t="s">
        <v>380</v>
      </c>
      <c r="H258" s="3">
        <v>2022.0</v>
      </c>
      <c r="I258" s="3" t="str">
        <f>IF(DB!$H258&gt;1000,LEFT(DB!$H258,2)+1,LEFT(DB!$H258,1)+1)</f>
        <v>21</v>
      </c>
      <c r="J258" s="3" t="s">
        <v>381</v>
      </c>
      <c r="K258" s="3" t="s">
        <v>33</v>
      </c>
      <c r="L258" s="3" t="s">
        <v>24</v>
      </c>
      <c r="M258" s="3"/>
      <c r="N258" s="3">
        <v>322.0</v>
      </c>
      <c r="O258" s="5">
        <v>44674.0</v>
      </c>
      <c r="P258" s="3">
        <v>4.0</v>
      </c>
    </row>
    <row r="259" ht="14.25" customHeight="1">
      <c r="A259" s="3"/>
      <c r="B259" s="4" t="s">
        <v>502</v>
      </c>
      <c r="C259" s="4" t="s">
        <v>28</v>
      </c>
      <c r="D259" s="4" t="s">
        <v>18</v>
      </c>
      <c r="E259" s="3" t="s">
        <v>379</v>
      </c>
      <c r="F259" s="3" t="s">
        <v>20</v>
      </c>
      <c r="G259" s="3" t="s">
        <v>503</v>
      </c>
      <c r="H259" s="3">
        <v>2021.0</v>
      </c>
      <c r="I259" s="3" t="str">
        <f>IF(DB!$H259&gt;1000,LEFT(DB!$H259,2)+1,LEFT(DB!$H259,1)+1)</f>
        <v>21</v>
      </c>
      <c r="J259" s="3" t="s">
        <v>67</v>
      </c>
      <c r="K259" s="3" t="s">
        <v>23</v>
      </c>
      <c r="L259" s="3" t="s">
        <v>24</v>
      </c>
      <c r="M259" s="3"/>
      <c r="N259" s="3">
        <v>560.0</v>
      </c>
      <c r="O259" s="5">
        <v>44703.0</v>
      </c>
      <c r="P259" s="3">
        <v>5.0</v>
      </c>
    </row>
    <row r="260" ht="14.25" customHeight="1">
      <c r="A260" s="3"/>
      <c r="B260" s="4" t="s">
        <v>504</v>
      </c>
      <c r="C260" s="4" t="s">
        <v>28</v>
      </c>
      <c r="D260" s="4" t="s">
        <v>18</v>
      </c>
      <c r="E260" s="3" t="s">
        <v>36</v>
      </c>
      <c r="F260" s="3" t="s">
        <v>37</v>
      </c>
      <c r="G260" s="3" t="s">
        <v>505</v>
      </c>
      <c r="H260" s="3">
        <v>2021.0</v>
      </c>
      <c r="I260" s="3" t="str">
        <f>IF(DB!$H260&gt;1000,LEFT(DB!$H260,2)+1,LEFT(DB!$H260,1)+1)</f>
        <v>21</v>
      </c>
      <c r="J260" s="3" t="s">
        <v>72</v>
      </c>
      <c r="K260" s="3" t="s">
        <v>23</v>
      </c>
      <c r="L260" s="3" t="s">
        <v>24</v>
      </c>
      <c r="M260" s="3" t="s">
        <v>18</v>
      </c>
      <c r="N260" s="3">
        <v>224.0</v>
      </c>
      <c r="O260" s="5">
        <v>44714.0</v>
      </c>
      <c r="P260" s="3">
        <v>4.0</v>
      </c>
    </row>
    <row r="261" ht="14.25" customHeight="1">
      <c r="A261" s="3"/>
      <c r="B261" s="4" t="s">
        <v>506</v>
      </c>
      <c r="C261" s="4" t="s">
        <v>28</v>
      </c>
      <c r="D261" s="4" t="s">
        <v>18</v>
      </c>
      <c r="E261" s="3" t="s">
        <v>55</v>
      </c>
      <c r="F261" s="3" t="s">
        <v>42</v>
      </c>
      <c r="G261" s="3" t="s">
        <v>507</v>
      </c>
      <c r="H261" s="3">
        <v>2011.0</v>
      </c>
      <c r="I261" s="3" t="str">
        <f>IF(DB!$H261&gt;1000,LEFT(DB!$H261,2)+1,LEFT(DB!$H261,1)+1)</f>
        <v>21</v>
      </c>
      <c r="J261" s="3" t="s">
        <v>207</v>
      </c>
      <c r="K261" s="3" t="s">
        <v>33</v>
      </c>
      <c r="L261" s="3" t="s">
        <v>79</v>
      </c>
      <c r="M261" s="3"/>
      <c r="N261" s="3">
        <v>336.0</v>
      </c>
      <c r="O261" s="5">
        <v>44729.0</v>
      </c>
      <c r="P261" s="3">
        <v>3.5</v>
      </c>
    </row>
    <row r="262" ht="14.25" customHeight="1">
      <c r="A262" s="3"/>
      <c r="B262" s="4" t="s">
        <v>508</v>
      </c>
      <c r="C262" s="4" t="s">
        <v>28</v>
      </c>
      <c r="D262" s="4" t="s">
        <v>18</v>
      </c>
      <c r="E262" s="3" t="s">
        <v>140</v>
      </c>
      <c r="F262" s="3" t="s">
        <v>42</v>
      </c>
      <c r="G262" s="3" t="s">
        <v>206</v>
      </c>
      <c r="H262" s="3">
        <v>2016.0</v>
      </c>
      <c r="I262" s="3" t="str">
        <f>IF(DB!$H262&gt;1000,LEFT(DB!$H262,2)+1,LEFT(DB!$H262,1)+1)</f>
        <v>21</v>
      </c>
      <c r="J262" s="3" t="s">
        <v>207</v>
      </c>
      <c r="K262" s="3" t="s">
        <v>23</v>
      </c>
      <c r="L262" s="3" t="s">
        <v>24</v>
      </c>
      <c r="M262" s="3"/>
      <c r="N262" s="3">
        <v>192.0</v>
      </c>
      <c r="O262" s="5">
        <v>44738.0</v>
      </c>
      <c r="P262" s="3">
        <v>3.5</v>
      </c>
    </row>
    <row r="263" ht="14.25" customHeight="1">
      <c r="A263" s="3"/>
      <c r="B263" s="4" t="s">
        <v>509</v>
      </c>
      <c r="C263" s="4" t="s">
        <v>28</v>
      </c>
      <c r="D263" s="4" t="s">
        <v>18</v>
      </c>
      <c r="E263" s="3" t="s">
        <v>19</v>
      </c>
      <c r="F263" s="3" t="s">
        <v>20</v>
      </c>
      <c r="G263" s="3" t="s">
        <v>510</v>
      </c>
      <c r="H263" s="3">
        <v>1928.0</v>
      </c>
      <c r="I263" s="3" t="str">
        <f>IF(DB!$H263&gt;1000,LEFT(DB!$H263,2)+1,LEFT(DB!$H263,1)+1)</f>
        <v>20</v>
      </c>
      <c r="J263" s="3" t="s">
        <v>165</v>
      </c>
      <c r="K263" s="3" t="s">
        <v>23</v>
      </c>
      <c r="L263" s="3" t="s">
        <v>24</v>
      </c>
      <c r="M263" s="3"/>
      <c r="N263" s="3">
        <v>352.0</v>
      </c>
      <c r="O263" s="5">
        <v>44763.0</v>
      </c>
      <c r="P263" s="3">
        <v>4.0</v>
      </c>
    </row>
    <row r="264" ht="14.25" customHeight="1">
      <c r="A264" s="3"/>
      <c r="B264" s="4" t="s">
        <v>511</v>
      </c>
      <c r="C264" s="4" t="s">
        <v>404</v>
      </c>
      <c r="D264" s="4" t="s">
        <v>18</v>
      </c>
      <c r="E264" s="3" t="s">
        <v>140</v>
      </c>
      <c r="F264" s="3" t="s">
        <v>42</v>
      </c>
      <c r="G264" s="3" t="s">
        <v>512</v>
      </c>
      <c r="H264" s="3">
        <v>1934.0</v>
      </c>
      <c r="I264" s="3" t="str">
        <f>IF(DB!$H264&gt;1000,LEFT(DB!$H264,2)+1,LEFT(DB!$H264,1)+1)</f>
        <v>20</v>
      </c>
      <c r="J264" s="3" t="s">
        <v>513</v>
      </c>
      <c r="K264" s="3" t="s">
        <v>23</v>
      </c>
      <c r="L264" s="3" t="s">
        <v>24</v>
      </c>
      <c r="M264" s="3"/>
      <c r="N264" s="3">
        <v>96.0</v>
      </c>
      <c r="O264" s="5">
        <v>44764.0</v>
      </c>
      <c r="P264" s="3">
        <v>4.5</v>
      </c>
    </row>
    <row r="265" ht="14.25" customHeight="1">
      <c r="A265" s="3"/>
      <c r="B265" s="4" t="s">
        <v>514</v>
      </c>
      <c r="C265" s="4" t="s">
        <v>28</v>
      </c>
      <c r="D265" s="4" t="s">
        <v>18</v>
      </c>
      <c r="E265" s="3" t="s">
        <v>19</v>
      </c>
      <c r="F265" s="3" t="s">
        <v>20</v>
      </c>
      <c r="G265" s="3" t="s">
        <v>515</v>
      </c>
      <c r="H265" s="3">
        <v>2020.0</v>
      </c>
      <c r="I265" s="3" t="str">
        <f>IF(DB!$H265&gt;1000,LEFT(DB!$H265,2)+1,LEFT(DB!$H265,1)+1)</f>
        <v>21</v>
      </c>
      <c r="J265" s="3" t="s">
        <v>374</v>
      </c>
      <c r="K265" s="3" t="s">
        <v>23</v>
      </c>
      <c r="L265" s="3" t="s">
        <v>24</v>
      </c>
      <c r="M265" s="3"/>
      <c r="N265" s="3">
        <v>304.0</v>
      </c>
      <c r="O265" s="5">
        <v>44771.0</v>
      </c>
      <c r="P265" s="3">
        <v>4.5</v>
      </c>
    </row>
    <row r="266" ht="14.25" customHeight="1">
      <c r="A266" s="3"/>
      <c r="B266" s="4" t="s">
        <v>516</v>
      </c>
      <c r="C266" s="4" t="s">
        <v>28</v>
      </c>
      <c r="D266" s="4" t="s">
        <v>305</v>
      </c>
      <c r="E266" s="3" t="s">
        <v>140</v>
      </c>
      <c r="F266" s="3" t="s">
        <v>42</v>
      </c>
      <c r="G266" s="3" t="s">
        <v>512</v>
      </c>
      <c r="H266" s="3">
        <v>1982.0</v>
      </c>
      <c r="I266" s="3" t="str">
        <f>IF(DB!$H266&gt;1000,LEFT(DB!$H266,2)+1,LEFT(DB!$H266,1)+1)</f>
        <v>20</v>
      </c>
      <c r="J266" s="3" t="s">
        <v>513</v>
      </c>
      <c r="K266" s="3" t="s">
        <v>23</v>
      </c>
      <c r="L266" s="3" t="s">
        <v>24</v>
      </c>
      <c r="M266" s="3"/>
      <c r="N266" s="3">
        <v>480.0</v>
      </c>
      <c r="O266" s="5">
        <v>44824.0</v>
      </c>
      <c r="P266" s="3">
        <v>5.0</v>
      </c>
    </row>
    <row r="267" ht="14.25" customHeight="1">
      <c r="A267" s="3"/>
      <c r="B267" s="4" t="s">
        <v>517</v>
      </c>
      <c r="C267" s="4" t="s">
        <v>28</v>
      </c>
      <c r="D267" s="4" t="s">
        <v>18</v>
      </c>
      <c r="E267" s="3" t="s">
        <v>283</v>
      </c>
      <c r="F267" s="3" t="s">
        <v>20</v>
      </c>
      <c r="G267" s="3" t="s">
        <v>518</v>
      </c>
      <c r="H267" s="3">
        <v>2017.0</v>
      </c>
      <c r="I267" s="3" t="str">
        <f>IF(DB!$H267&gt;1000,LEFT(DB!$H267,2)+1,LEFT(DB!$H267,1)+1)</f>
        <v>21</v>
      </c>
      <c r="J267" s="3" t="s">
        <v>184</v>
      </c>
      <c r="K267" s="3" t="s">
        <v>33</v>
      </c>
      <c r="L267" s="3" t="s">
        <v>24</v>
      </c>
      <c r="M267" s="3"/>
      <c r="N267" s="3">
        <v>160.0</v>
      </c>
      <c r="O267" s="5">
        <v>44832.0</v>
      </c>
      <c r="P267" s="3">
        <v>3.5</v>
      </c>
    </row>
    <row r="268" ht="14.25" customHeight="1">
      <c r="A268" s="3"/>
      <c r="B268" s="4" t="s">
        <v>519</v>
      </c>
      <c r="C268" s="4" t="s">
        <v>28</v>
      </c>
      <c r="D268" s="4" t="s">
        <v>18</v>
      </c>
      <c r="E268" s="3" t="s">
        <v>19</v>
      </c>
      <c r="F268" s="3" t="s">
        <v>20</v>
      </c>
      <c r="G268" s="3" t="s">
        <v>520</v>
      </c>
      <c r="H268" s="3">
        <v>2021.0</v>
      </c>
      <c r="I268" s="3" t="str">
        <f>IF(DB!$H268&gt;1000,LEFT(DB!$H268,2)+1,LEFT(DB!$H268,1)+1)</f>
        <v>21</v>
      </c>
      <c r="J268" s="3" t="s">
        <v>230</v>
      </c>
      <c r="K268" s="3" t="s">
        <v>33</v>
      </c>
      <c r="L268" s="3" t="s">
        <v>24</v>
      </c>
      <c r="M268" s="3"/>
      <c r="N268" s="3">
        <v>210.0</v>
      </c>
      <c r="O268" s="5">
        <v>44849.0</v>
      </c>
      <c r="P268" s="3">
        <v>4.5</v>
      </c>
    </row>
    <row r="269" ht="14.25" customHeight="1">
      <c r="A269" s="3"/>
      <c r="B269" s="4" t="s">
        <v>521</v>
      </c>
      <c r="C269" s="4" t="s">
        <v>28</v>
      </c>
      <c r="D269" s="4" t="s">
        <v>18</v>
      </c>
      <c r="E269" s="3" t="s">
        <v>74</v>
      </c>
      <c r="F269" s="3" t="s">
        <v>42</v>
      </c>
      <c r="G269" s="3" t="s">
        <v>484</v>
      </c>
      <c r="H269" s="3">
        <v>2017.0</v>
      </c>
      <c r="I269" s="3" t="str">
        <f>IF(DB!$H269&gt;1000,LEFT(DB!$H269,2)+1,LEFT(DB!$H269,1)+1)</f>
        <v>21</v>
      </c>
      <c r="J269" s="3" t="s">
        <v>67</v>
      </c>
      <c r="K269" s="3" t="s">
        <v>33</v>
      </c>
      <c r="L269" s="3" t="s">
        <v>24</v>
      </c>
      <c r="M269" s="3" t="s">
        <v>18</v>
      </c>
      <c r="N269" s="3">
        <v>320.0</v>
      </c>
      <c r="O269" s="5">
        <v>44872.0</v>
      </c>
      <c r="P269" s="3">
        <v>3.5</v>
      </c>
    </row>
    <row r="270" ht="14.25" customHeight="1">
      <c r="A270" s="3"/>
      <c r="B270" s="4" t="s">
        <v>522</v>
      </c>
      <c r="C270" s="4" t="s">
        <v>28</v>
      </c>
      <c r="D270" s="4" t="s">
        <v>18</v>
      </c>
      <c r="E270" s="3" t="s">
        <v>140</v>
      </c>
      <c r="F270" s="3" t="s">
        <v>42</v>
      </c>
      <c r="G270" s="3" t="s">
        <v>206</v>
      </c>
      <c r="H270" s="3">
        <v>2021.0</v>
      </c>
      <c r="I270" s="3" t="str">
        <f>IF(DB!$H270&gt;1000,LEFT(DB!$H270,2)+1,LEFT(DB!$H270,1)+1)</f>
        <v>21</v>
      </c>
      <c r="J270" s="3" t="s">
        <v>207</v>
      </c>
      <c r="K270" s="3" t="s">
        <v>23</v>
      </c>
      <c r="L270" s="3" t="s">
        <v>24</v>
      </c>
      <c r="M270" s="3"/>
      <c r="N270" s="3">
        <v>208.0</v>
      </c>
      <c r="O270" s="5">
        <v>44874.0</v>
      </c>
      <c r="P270" s="3">
        <v>4.5</v>
      </c>
    </row>
    <row r="271" ht="14.25" customHeight="1">
      <c r="A271" s="3"/>
      <c r="B271" s="4" t="s">
        <v>523</v>
      </c>
      <c r="C271" s="4" t="s">
        <v>524</v>
      </c>
      <c r="D271" s="4" t="s">
        <v>60</v>
      </c>
      <c r="E271" s="3" t="s">
        <v>19</v>
      </c>
      <c r="F271" s="3" t="s">
        <v>20</v>
      </c>
      <c r="G271" s="3" t="s">
        <v>525</v>
      </c>
      <c r="H271" s="3">
        <v>2021.0</v>
      </c>
      <c r="I271" s="3" t="str">
        <f>IF(DB!$H271&gt;1000,LEFT(DB!$H271,2)+1,LEFT(DB!$H271,1)+1)</f>
        <v>21</v>
      </c>
      <c r="J271" s="3" t="s">
        <v>207</v>
      </c>
      <c r="K271" s="3" t="s">
        <v>79</v>
      </c>
      <c r="L271" s="3" t="s">
        <v>79</v>
      </c>
      <c r="M271" s="3"/>
      <c r="N271" s="3">
        <v>144.0</v>
      </c>
      <c r="O271" s="5">
        <v>44875.0</v>
      </c>
      <c r="P271" s="3">
        <v>4.0</v>
      </c>
    </row>
    <row r="272" ht="14.25" customHeight="1">
      <c r="A272" s="3"/>
      <c r="B272" s="4" t="s">
        <v>526</v>
      </c>
      <c r="C272" s="4" t="s">
        <v>93</v>
      </c>
      <c r="D272" s="4" t="s">
        <v>60</v>
      </c>
      <c r="E272" s="3" t="s">
        <v>55</v>
      </c>
      <c r="F272" s="3" t="s">
        <v>42</v>
      </c>
      <c r="G272" s="3" t="s">
        <v>527</v>
      </c>
      <c r="H272" s="3">
        <v>1963.0</v>
      </c>
      <c r="I272" s="3" t="str">
        <f>IF(DB!$H272&gt;1000,LEFT(DB!$H272,2)+1,LEFT(DB!$H272,1)+1)</f>
        <v>20</v>
      </c>
      <c r="J272" s="3" t="s">
        <v>67</v>
      </c>
      <c r="K272" s="3" t="s">
        <v>33</v>
      </c>
      <c r="L272" s="3" t="s">
        <v>24</v>
      </c>
      <c r="M272" s="3"/>
      <c r="N272" s="3">
        <v>256.0</v>
      </c>
      <c r="O272" s="5">
        <v>44905.0</v>
      </c>
      <c r="P272" s="3">
        <v>4.5</v>
      </c>
    </row>
    <row r="273" ht="14.25" customHeight="1">
      <c r="A273" s="3"/>
      <c r="B273" s="4" t="s">
        <v>528</v>
      </c>
      <c r="C273" s="4" t="s">
        <v>28</v>
      </c>
      <c r="D273" s="4" t="s">
        <v>18</v>
      </c>
      <c r="E273" s="3" t="s">
        <v>529</v>
      </c>
      <c r="F273" s="3" t="s">
        <v>20</v>
      </c>
      <c r="G273" s="3" t="s">
        <v>530</v>
      </c>
      <c r="H273" s="3">
        <v>1986.0</v>
      </c>
      <c r="I273" s="3" t="str">
        <f>IF(DB!$H273&gt;1000,LEFT(DB!$H273,2)+1,LEFT(DB!$H273,1)+1)</f>
        <v>20</v>
      </c>
      <c r="J273" s="3" t="s">
        <v>531</v>
      </c>
      <c r="K273" s="3" t="s">
        <v>33</v>
      </c>
      <c r="L273" s="3" t="s">
        <v>34</v>
      </c>
      <c r="M273" s="3"/>
      <c r="N273" s="3">
        <v>252.0</v>
      </c>
      <c r="O273" s="5">
        <v>44911.0</v>
      </c>
      <c r="P273" s="3">
        <v>4.5</v>
      </c>
    </row>
    <row r="274" ht="14.25" customHeight="1">
      <c r="A274" s="3"/>
      <c r="B274" s="4" t="s">
        <v>532</v>
      </c>
      <c r="C274" s="4" t="s">
        <v>533</v>
      </c>
      <c r="D274" s="4" t="s">
        <v>60</v>
      </c>
      <c r="E274" s="3" t="s">
        <v>19</v>
      </c>
      <c r="F274" s="3" t="s">
        <v>20</v>
      </c>
      <c r="G274" s="3" t="s">
        <v>534</v>
      </c>
      <c r="H274" s="3">
        <v>1995.0</v>
      </c>
      <c r="I274" s="3" t="str">
        <f>IF(DB!$H274&gt;1000,LEFT(DB!$H274,2)+1,LEFT(DB!$H274,1)+1)</f>
        <v>20</v>
      </c>
      <c r="J274" s="3" t="s">
        <v>535</v>
      </c>
      <c r="K274" s="3" t="s">
        <v>23</v>
      </c>
      <c r="L274" s="3" t="s">
        <v>24</v>
      </c>
      <c r="M274" s="3"/>
      <c r="N274" s="3">
        <v>368.0</v>
      </c>
      <c r="O274" s="5">
        <v>44939.0</v>
      </c>
      <c r="P274" s="3">
        <v>5.0</v>
      </c>
    </row>
    <row r="275" ht="14.25" customHeight="1">
      <c r="A275" s="3"/>
      <c r="B275" s="4" t="s">
        <v>536</v>
      </c>
      <c r="C275" s="4" t="s">
        <v>492</v>
      </c>
      <c r="D275" s="4" t="s">
        <v>18</v>
      </c>
      <c r="E275" s="3" t="s">
        <v>19</v>
      </c>
      <c r="F275" s="3" t="s">
        <v>20</v>
      </c>
      <c r="G275" s="3" t="s">
        <v>537</v>
      </c>
      <c r="H275" s="3">
        <v>2022.0</v>
      </c>
      <c r="I275" s="3" t="str">
        <f>IF(DB!$H275&gt;1000,LEFT(DB!$H275,2)+1,LEFT(DB!$H275,1)+1)</f>
        <v>21</v>
      </c>
      <c r="J275" s="3" t="s">
        <v>538</v>
      </c>
      <c r="K275" s="3" t="s">
        <v>33</v>
      </c>
      <c r="L275" s="3" t="s">
        <v>24</v>
      </c>
      <c r="M275" s="3" t="s">
        <v>18</v>
      </c>
      <c r="N275" s="3">
        <v>200.0</v>
      </c>
      <c r="O275" s="5">
        <v>45000.0</v>
      </c>
      <c r="P275" s="3">
        <v>3.5</v>
      </c>
    </row>
    <row r="276" ht="14.25" customHeight="1">
      <c r="A276" s="3"/>
      <c r="B276" s="4" t="s">
        <v>539</v>
      </c>
      <c r="C276" s="4" t="s">
        <v>28</v>
      </c>
      <c r="D276" s="4" t="s">
        <v>18</v>
      </c>
      <c r="E276" s="3" t="s">
        <v>379</v>
      </c>
      <c r="F276" s="3" t="s">
        <v>20</v>
      </c>
      <c r="G276" s="3" t="s">
        <v>503</v>
      </c>
      <c r="H276" s="3">
        <v>2020.0</v>
      </c>
      <c r="I276" s="3" t="str">
        <f>IF(DB!$H276&gt;1000,LEFT(DB!$H276,2)+1,LEFT(DB!$H276,1)+1)</f>
        <v>21</v>
      </c>
      <c r="J276" s="3" t="s">
        <v>67</v>
      </c>
      <c r="K276" s="3" t="s">
        <v>23</v>
      </c>
      <c r="L276" s="3" t="s">
        <v>24</v>
      </c>
      <c r="M276" s="3"/>
      <c r="N276" s="3">
        <v>432.0</v>
      </c>
      <c r="O276" s="5">
        <v>45024.0</v>
      </c>
      <c r="P276" s="3">
        <v>5.0</v>
      </c>
    </row>
    <row r="277" ht="14.25" customHeight="1">
      <c r="A277" s="3"/>
      <c r="B277" s="4" t="s">
        <v>540</v>
      </c>
      <c r="C277" s="4" t="s">
        <v>28</v>
      </c>
      <c r="D277" s="4" t="s">
        <v>18</v>
      </c>
      <c r="E277" s="3" t="s">
        <v>137</v>
      </c>
      <c r="F277" s="3" t="s">
        <v>20</v>
      </c>
      <c r="G277" s="3" t="s">
        <v>541</v>
      </c>
      <c r="H277" s="3">
        <v>1963.0</v>
      </c>
      <c r="I277" s="3" t="str">
        <f>IF(DB!$H277&gt;1000,LEFT(DB!$H277,2)+1,LEFT(DB!$H277,1)+1)</f>
        <v>20</v>
      </c>
      <c r="J277" s="3" t="s">
        <v>67</v>
      </c>
      <c r="K277" s="3" t="s">
        <v>23</v>
      </c>
      <c r="L277" s="3" t="s">
        <v>24</v>
      </c>
      <c r="M277" s="3"/>
      <c r="N277" s="3">
        <v>592.0</v>
      </c>
      <c r="O277" s="5">
        <v>45026.0</v>
      </c>
      <c r="P277" s="3">
        <v>4.0</v>
      </c>
    </row>
    <row r="278" ht="14.25" customHeight="1">
      <c r="A278" s="3"/>
      <c r="B278" s="4" t="s">
        <v>542</v>
      </c>
      <c r="C278" s="4" t="s">
        <v>404</v>
      </c>
      <c r="D278" s="4" t="s">
        <v>18</v>
      </c>
      <c r="E278" s="3" t="s">
        <v>47</v>
      </c>
      <c r="F278" s="3" t="s">
        <v>42</v>
      </c>
      <c r="G278" s="3" t="s">
        <v>543</v>
      </c>
      <c r="H278" s="3">
        <v>1873.0</v>
      </c>
      <c r="I278" s="3" t="str">
        <f>IF(DB!$H278&gt;1000,LEFT(DB!$H278,2)+1,LEFT(DB!$H278,1)+1)</f>
        <v>19</v>
      </c>
      <c r="J278" s="3" t="s">
        <v>374</v>
      </c>
      <c r="K278" s="3" t="s">
        <v>23</v>
      </c>
      <c r="L278" s="3" t="s">
        <v>24</v>
      </c>
      <c r="M278" s="3" t="s">
        <v>18</v>
      </c>
      <c r="N278" s="3">
        <v>264.0</v>
      </c>
      <c r="O278" s="5">
        <v>45033.0</v>
      </c>
      <c r="P278" s="3">
        <v>3.5</v>
      </c>
    </row>
    <row r="279" ht="14.25" customHeight="1">
      <c r="A279" s="3"/>
      <c r="B279" s="4" t="s">
        <v>544</v>
      </c>
      <c r="C279" s="4" t="s">
        <v>404</v>
      </c>
      <c r="D279" s="4" t="s">
        <v>18</v>
      </c>
      <c r="E279" s="3" t="s">
        <v>379</v>
      </c>
      <c r="F279" s="3" t="s">
        <v>20</v>
      </c>
      <c r="G279" s="3" t="s">
        <v>545</v>
      </c>
      <c r="H279" s="3">
        <v>1924.0</v>
      </c>
      <c r="I279" s="3" t="str">
        <f>IF(DB!$H279&gt;1000,LEFT(DB!$H279,2)+1,LEFT(DB!$H279,1)+1)</f>
        <v>20</v>
      </c>
      <c r="J279" s="3" t="s">
        <v>546</v>
      </c>
      <c r="K279" s="3" t="s">
        <v>23</v>
      </c>
      <c r="L279" s="3" t="s">
        <v>24</v>
      </c>
      <c r="M279" s="3"/>
      <c r="N279" s="3">
        <v>56.0</v>
      </c>
      <c r="O279" s="5">
        <v>45063.0</v>
      </c>
      <c r="P279" s="3">
        <v>3.5</v>
      </c>
    </row>
    <row r="280" ht="14.25" customHeight="1">
      <c r="A280" s="3"/>
      <c r="B280" s="4" t="s">
        <v>547</v>
      </c>
      <c r="C280" s="4" t="s">
        <v>28</v>
      </c>
      <c r="D280" s="4" t="s">
        <v>18</v>
      </c>
      <c r="E280" s="3" t="s">
        <v>36</v>
      </c>
      <c r="F280" s="3" t="s">
        <v>37</v>
      </c>
      <c r="G280" s="3" t="s">
        <v>548</v>
      </c>
      <c r="H280" s="3">
        <v>2020.0</v>
      </c>
      <c r="I280" s="3" t="str">
        <f>IF(DB!$H280&gt;1000,LEFT(DB!$H280,2)+1,LEFT(DB!$H280,1)+1)</f>
        <v>21</v>
      </c>
      <c r="J280" s="3" t="s">
        <v>67</v>
      </c>
      <c r="K280" s="3" t="s">
        <v>33</v>
      </c>
      <c r="L280" s="3" t="s">
        <v>34</v>
      </c>
      <c r="M280" s="3"/>
      <c r="N280" s="3">
        <v>232.0</v>
      </c>
      <c r="O280" s="5">
        <v>45094.0</v>
      </c>
      <c r="P280" s="3">
        <v>4.0</v>
      </c>
    </row>
    <row r="281" ht="14.25" customHeight="1">
      <c r="A281" s="3"/>
      <c r="B281" s="4" t="s">
        <v>549</v>
      </c>
      <c r="C281" s="4" t="s">
        <v>110</v>
      </c>
      <c r="D281" s="4" t="s">
        <v>18</v>
      </c>
      <c r="E281" s="3" t="s">
        <v>550</v>
      </c>
      <c r="F281" s="3" t="s">
        <v>448</v>
      </c>
      <c r="G281" s="3" t="s">
        <v>551</v>
      </c>
      <c r="H281" s="3">
        <v>1969.0</v>
      </c>
      <c r="I281" s="3" t="str">
        <f>IF(DB!$H281&gt;1000,LEFT(DB!$H281,2)+1,LEFT(DB!$H281,1)+1)</f>
        <v>20</v>
      </c>
      <c r="J281" s="3" t="s">
        <v>552</v>
      </c>
      <c r="K281" s="3" t="s">
        <v>23</v>
      </c>
      <c r="L281" s="3" t="s">
        <v>24</v>
      </c>
      <c r="M281" s="3"/>
      <c r="N281" s="3">
        <v>248.0</v>
      </c>
      <c r="O281" s="5">
        <v>45166.0</v>
      </c>
      <c r="P281" s="3">
        <v>3.5</v>
      </c>
    </row>
    <row r="282" ht="14.25" customHeight="1">
      <c r="A282" s="3"/>
      <c r="B282" s="4" t="s">
        <v>553</v>
      </c>
      <c r="C282" s="4" t="s">
        <v>404</v>
      </c>
      <c r="D282" s="4" t="s">
        <v>18</v>
      </c>
      <c r="E282" s="3" t="s">
        <v>19</v>
      </c>
      <c r="F282" s="3" t="s">
        <v>20</v>
      </c>
      <c r="G282" s="3" t="s">
        <v>554</v>
      </c>
      <c r="H282" s="3">
        <v>1962.0</v>
      </c>
      <c r="I282" s="3" t="str">
        <f>IF(DB!$H282&gt;1000,LEFT(DB!$H282,2)+1,LEFT(DB!$H282,1)+1)</f>
        <v>20</v>
      </c>
      <c r="J282" s="3" t="s">
        <v>230</v>
      </c>
      <c r="K282" s="3" t="s">
        <v>23</v>
      </c>
      <c r="L282" s="3" t="s">
        <v>24</v>
      </c>
      <c r="M282" s="3"/>
      <c r="N282" s="3">
        <v>368.0</v>
      </c>
      <c r="O282" s="5">
        <v>45169.0</v>
      </c>
      <c r="P282" s="3">
        <v>4.0</v>
      </c>
    </row>
    <row r="283" ht="14.25" customHeight="1">
      <c r="A283" s="3"/>
      <c r="B283" s="4" t="s">
        <v>555</v>
      </c>
      <c r="C283" s="4" t="s">
        <v>28</v>
      </c>
      <c r="D283" s="4" t="s">
        <v>18</v>
      </c>
      <c r="E283" s="3" t="s">
        <v>36</v>
      </c>
      <c r="F283" s="3" t="s">
        <v>37</v>
      </c>
      <c r="G283" s="3" t="s">
        <v>556</v>
      </c>
      <c r="H283" s="3">
        <v>1956.0</v>
      </c>
      <c r="I283" s="3" t="str">
        <f>IF(DB!$H283&gt;1000,LEFT(DB!$H283,2)+1,LEFT(DB!$H283,1)+1)</f>
        <v>20</v>
      </c>
      <c r="J283" s="3" t="s">
        <v>67</v>
      </c>
      <c r="K283" s="3" t="s">
        <v>23</v>
      </c>
      <c r="L283" s="3" t="s">
        <v>34</v>
      </c>
      <c r="M283" s="3" t="s">
        <v>18</v>
      </c>
      <c r="N283" s="3">
        <v>232.0</v>
      </c>
      <c r="O283" s="5">
        <v>45198.0</v>
      </c>
      <c r="P283" s="3">
        <v>4.5</v>
      </c>
    </row>
    <row r="284" ht="14.25" customHeight="1">
      <c r="A284" s="3"/>
      <c r="B284" s="4" t="s">
        <v>557</v>
      </c>
      <c r="C284" s="4" t="s">
        <v>28</v>
      </c>
      <c r="D284" s="4" t="s">
        <v>18</v>
      </c>
      <c r="E284" s="3" t="s">
        <v>36</v>
      </c>
      <c r="F284" s="3" t="s">
        <v>37</v>
      </c>
      <c r="G284" s="3" t="s">
        <v>558</v>
      </c>
      <c r="H284" s="3">
        <v>1851.0</v>
      </c>
      <c r="I284" s="3" t="str">
        <f>IF(DB!$H284&gt;1000,LEFT(DB!$H284,2)+1,LEFT(DB!$H284,1)+1)</f>
        <v>19</v>
      </c>
      <c r="J284" s="3" t="s">
        <v>165</v>
      </c>
      <c r="K284" s="3" t="s">
        <v>23</v>
      </c>
      <c r="L284" s="3" t="s">
        <v>24</v>
      </c>
      <c r="M284" s="3"/>
      <c r="N284" s="3">
        <v>752.0</v>
      </c>
      <c r="O284" s="5">
        <v>45212.0</v>
      </c>
      <c r="P284" s="3">
        <v>5.0</v>
      </c>
    </row>
    <row r="285" ht="14.25" customHeight="1">
      <c r="A285" s="3"/>
      <c r="B285" s="4" t="s">
        <v>559</v>
      </c>
      <c r="C285" s="4" t="s">
        <v>93</v>
      </c>
      <c r="D285" s="4" t="s">
        <v>60</v>
      </c>
      <c r="E285" s="3" t="s">
        <v>19</v>
      </c>
      <c r="F285" s="3" t="s">
        <v>20</v>
      </c>
      <c r="G285" s="3" t="s">
        <v>560</v>
      </c>
      <c r="H285" s="3">
        <v>2023.0</v>
      </c>
      <c r="I285" s="3" t="str">
        <f>IF(DB!$H285&gt;1000,LEFT(DB!$H285,2)+1,LEFT(DB!$H285,1)+1)</f>
        <v>21</v>
      </c>
      <c r="J285" s="3" t="s">
        <v>184</v>
      </c>
      <c r="K285" s="3" t="s">
        <v>23</v>
      </c>
      <c r="L285" s="3" t="s">
        <v>24</v>
      </c>
      <c r="M285" s="3" t="s">
        <v>18</v>
      </c>
      <c r="N285" s="3">
        <v>192.0</v>
      </c>
      <c r="O285" s="5">
        <v>45215.0</v>
      </c>
      <c r="P285" s="3">
        <v>3.5</v>
      </c>
    </row>
    <row r="286" ht="14.25" customHeight="1">
      <c r="A286" s="3"/>
      <c r="B286" s="4" t="s">
        <v>561</v>
      </c>
      <c r="C286" s="4" t="s">
        <v>562</v>
      </c>
      <c r="D286" s="4" t="s">
        <v>18</v>
      </c>
      <c r="E286" s="3" t="s">
        <v>563</v>
      </c>
      <c r="F286" s="3" t="s">
        <v>42</v>
      </c>
      <c r="G286" s="3" t="s">
        <v>564</v>
      </c>
      <c r="H286" s="3">
        <v>2019.0</v>
      </c>
      <c r="I286" s="3" t="str">
        <f>IF(DB!$H286&gt;1000,LEFT(DB!$H286,2)+1,LEFT(DB!$H286,1)+1)</f>
        <v>21</v>
      </c>
      <c r="J286" s="3" t="s">
        <v>374</v>
      </c>
      <c r="K286" s="3" t="s">
        <v>23</v>
      </c>
      <c r="L286" s="3" t="s">
        <v>24</v>
      </c>
      <c r="M286" s="3"/>
      <c r="N286" s="3">
        <v>176.0</v>
      </c>
      <c r="O286" s="5">
        <v>45221.0</v>
      </c>
      <c r="P286" s="3">
        <v>2.5</v>
      </c>
    </row>
    <row r="287" ht="14.25" customHeight="1">
      <c r="A287" s="3"/>
      <c r="B287" s="4" t="s">
        <v>565</v>
      </c>
      <c r="C287" s="4" t="s">
        <v>28</v>
      </c>
      <c r="D287" s="4" t="s">
        <v>18</v>
      </c>
      <c r="E287" s="3" t="s">
        <v>36</v>
      </c>
      <c r="F287" s="3" t="s">
        <v>37</v>
      </c>
      <c r="G287" s="3" t="s">
        <v>566</v>
      </c>
      <c r="H287" s="3">
        <v>2018.0</v>
      </c>
      <c r="I287" s="3" t="str">
        <f>IF(DB!$H287&gt;1000,LEFT(DB!$H287,2)+1,LEFT(DB!$H287,1)+1)</f>
        <v>21</v>
      </c>
      <c r="J287" s="3" t="s">
        <v>374</v>
      </c>
      <c r="K287" s="3" t="s">
        <v>33</v>
      </c>
      <c r="L287" s="3" t="s">
        <v>24</v>
      </c>
      <c r="M287" s="3"/>
      <c r="N287" s="3">
        <v>240.0</v>
      </c>
      <c r="O287" s="5">
        <v>45225.0</v>
      </c>
      <c r="P287" s="3">
        <v>4.5</v>
      </c>
    </row>
    <row r="288" ht="14.25" customHeight="1">
      <c r="A288" s="3"/>
      <c r="B288" s="4" t="s">
        <v>567</v>
      </c>
      <c r="C288" s="4" t="s">
        <v>28</v>
      </c>
      <c r="D288" s="4" t="s">
        <v>18</v>
      </c>
      <c r="E288" s="3" t="s">
        <v>47</v>
      </c>
      <c r="F288" s="3" t="s">
        <v>42</v>
      </c>
      <c r="G288" s="3" t="s">
        <v>568</v>
      </c>
      <c r="H288" s="3">
        <v>1975.0</v>
      </c>
      <c r="I288" s="3" t="str">
        <f>IF(DB!$H288&gt;1000,LEFT(DB!$H288,2)+1,LEFT(DB!$H288,1)+1)</f>
        <v>20</v>
      </c>
      <c r="J288" s="3" t="s">
        <v>374</v>
      </c>
      <c r="K288" s="3" t="s">
        <v>23</v>
      </c>
      <c r="L288" s="3" t="s">
        <v>24</v>
      </c>
      <c r="M288" s="3"/>
      <c r="N288" s="3">
        <v>192.0</v>
      </c>
      <c r="O288" s="5">
        <v>45240.0</v>
      </c>
      <c r="P288" s="3">
        <v>3.5</v>
      </c>
    </row>
    <row r="289" ht="14.25" customHeight="1">
      <c r="A289" s="3"/>
      <c r="B289" s="4" t="s">
        <v>569</v>
      </c>
      <c r="C289" s="4" t="s">
        <v>93</v>
      </c>
      <c r="D289" s="4" t="s">
        <v>60</v>
      </c>
      <c r="E289" s="3" t="s">
        <v>47</v>
      </c>
      <c r="F289" s="3" t="s">
        <v>42</v>
      </c>
      <c r="G289" s="3" t="s">
        <v>570</v>
      </c>
      <c r="H289" s="3">
        <v>1983.0</v>
      </c>
      <c r="I289" s="3" t="str">
        <f>IF(DB!$H289&gt;1000,LEFT(DB!$H289,2)+1,LEFT(DB!$H289,1)+1)</f>
        <v>20</v>
      </c>
      <c r="J289" s="3" t="s">
        <v>571</v>
      </c>
      <c r="K289" s="3" t="s">
        <v>33</v>
      </c>
      <c r="L289" s="3" t="s">
        <v>24</v>
      </c>
      <c r="M289" s="3"/>
      <c r="N289" s="3">
        <v>72.0</v>
      </c>
      <c r="O289" s="5">
        <v>45243.0</v>
      </c>
      <c r="P289" s="3">
        <v>4.5</v>
      </c>
    </row>
    <row r="290" ht="14.25" customHeight="1">
      <c r="A290" s="3"/>
      <c r="B290" s="4" t="s">
        <v>572</v>
      </c>
      <c r="C290" s="4" t="s">
        <v>28</v>
      </c>
      <c r="D290" s="4" t="s">
        <v>18</v>
      </c>
      <c r="E290" s="3" t="s">
        <v>310</v>
      </c>
      <c r="F290" s="3" t="s">
        <v>42</v>
      </c>
      <c r="G290" s="3" t="s">
        <v>573</v>
      </c>
      <c r="H290" s="3">
        <v>2023.0</v>
      </c>
      <c r="I290" s="3" t="str">
        <f>IF(DB!$H290&gt;1000,LEFT(DB!$H290,2)+1,LEFT(DB!$H290,1)+1)</f>
        <v>21</v>
      </c>
      <c r="J290" s="3" t="s">
        <v>571</v>
      </c>
      <c r="K290" s="3" t="s">
        <v>23</v>
      </c>
      <c r="L290" s="3" t="s">
        <v>24</v>
      </c>
      <c r="M290" s="3"/>
      <c r="N290" s="3">
        <v>64.0</v>
      </c>
      <c r="O290" s="5">
        <v>45245.0</v>
      </c>
      <c r="P290" s="3">
        <v>3.5</v>
      </c>
    </row>
    <row r="291" ht="14.25" customHeight="1">
      <c r="A291" s="3"/>
      <c r="B291" s="4" t="s">
        <v>574</v>
      </c>
      <c r="C291" s="4" t="s">
        <v>28</v>
      </c>
      <c r="D291" s="4" t="s">
        <v>18</v>
      </c>
      <c r="E291" s="3" t="s">
        <v>19</v>
      </c>
      <c r="F291" s="3" t="s">
        <v>20</v>
      </c>
      <c r="G291" s="3" t="s">
        <v>575</v>
      </c>
      <c r="H291" s="3">
        <v>1954.0</v>
      </c>
      <c r="I291" s="3" t="str">
        <f>IF(DB!$H291&gt;1000,LEFT(DB!$H291,2)+1,LEFT(DB!$H291,1)+1)</f>
        <v>20</v>
      </c>
      <c r="J291" s="3" t="s">
        <v>67</v>
      </c>
      <c r="K291" s="3" t="s">
        <v>33</v>
      </c>
      <c r="L291" s="3" t="s">
        <v>24</v>
      </c>
      <c r="M291" s="3"/>
      <c r="N291" s="3">
        <v>224.0</v>
      </c>
      <c r="O291" s="5">
        <v>45264.0</v>
      </c>
      <c r="P291" s="3">
        <v>4.5</v>
      </c>
    </row>
    <row r="292" ht="14.25" customHeight="1">
      <c r="A292" s="3"/>
      <c r="B292" s="4" t="s">
        <v>576</v>
      </c>
      <c r="C292" s="4" t="s">
        <v>110</v>
      </c>
      <c r="D292" s="4" t="s">
        <v>18</v>
      </c>
      <c r="E292" s="3" t="s">
        <v>379</v>
      </c>
      <c r="F292" s="3" t="s">
        <v>20</v>
      </c>
      <c r="G292" s="3" t="s">
        <v>79</v>
      </c>
      <c r="H292" s="3">
        <v>2018.0</v>
      </c>
      <c r="I292" s="3" t="str">
        <f>IF(DB!$H292&gt;1000,LEFT(DB!$H292,2)+1,LEFT(DB!$H292,1)+1)</f>
        <v>21</v>
      </c>
      <c r="J292" s="3" t="s">
        <v>577</v>
      </c>
      <c r="K292" s="3" t="s">
        <v>79</v>
      </c>
      <c r="L292" s="3" t="s">
        <v>79</v>
      </c>
      <c r="M292" s="3"/>
      <c r="N292" s="3">
        <v>114.0</v>
      </c>
      <c r="O292" s="5">
        <v>45266.0</v>
      </c>
      <c r="P292" s="3">
        <v>4.0</v>
      </c>
    </row>
    <row r="293" ht="14.25" customHeight="1">
      <c r="A293" s="3"/>
      <c r="B293" s="4" t="s">
        <v>578</v>
      </c>
      <c r="C293" s="4" t="s">
        <v>28</v>
      </c>
      <c r="D293" s="4" t="s">
        <v>18</v>
      </c>
      <c r="E293" s="3" t="s">
        <v>36</v>
      </c>
      <c r="F293" s="3" t="s">
        <v>37</v>
      </c>
      <c r="G293" s="3" t="s">
        <v>579</v>
      </c>
      <c r="H293" s="3">
        <v>2022.0</v>
      </c>
      <c r="I293" s="3" t="str">
        <f>IF(DB!$H293&gt;1000,LEFT(DB!$H293,2)+1,LEFT(DB!$H293,1)+1)</f>
        <v>21</v>
      </c>
      <c r="J293" s="3" t="s">
        <v>72</v>
      </c>
      <c r="K293" s="3" t="s">
        <v>33</v>
      </c>
      <c r="L293" s="3" t="s">
        <v>24</v>
      </c>
      <c r="M293" s="3"/>
      <c r="N293" s="3">
        <v>400.0</v>
      </c>
      <c r="O293" s="5">
        <v>45280.0</v>
      </c>
      <c r="P293" s="3">
        <v>4.0</v>
      </c>
    </row>
    <row r="294" ht="14.25" customHeight="1">
      <c r="A294" s="3"/>
      <c r="B294" s="4" t="s">
        <v>580</v>
      </c>
      <c r="C294" s="4" t="s">
        <v>203</v>
      </c>
      <c r="D294" s="4" t="s">
        <v>60</v>
      </c>
      <c r="E294" s="3" t="s">
        <v>345</v>
      </c>
      <c r="F294" s="3" t="s">
        <v>20</v>
      </c>
      <c r="G294" s="3" t="s">
        <v>346</v>
      </c>
      <c r="H294" s="3">
        <v>2018.0</v>
      </c>
      <c r="I294" s="3" t="str">
        <f>IF(DB!$H294&gt;1000,LEFT(DB!$H294,2)+1,LEFT(DB!$H294,1)+1)</f>
        <v>21</v>
      </c>
      <c r="J294" s="3" t="s">
        <v>347</v>
      </c>
      <c r="K294" s="3" t="s">
        <v>23</v>
      </c>
      <c r="L294" s="3" t="s">
        <v>24</v>
      </c>
      <c r="M294" s="3"/>
      <c r="N294" s="3">
        <v>232.0</v>
      </c>
      <c r="O294" s="5">
        <v>45287.0</v>
      </c>
      <c r="P294" s="3">
        <v>5.0</v>
      </c>
    </row>
    <row r="295" ht="14.25" customHeight="1">
      <c r="A295" s="3"/>
      <c r="B295" s="4" t="s">
        <v>581</v>
      </c>
      <c r="C295" s="4" t="s">
        <v>582</v>
      </c>
      <c r="D295" s="4" t="s">
        <v>60</v>
      </c>
      <c r="E295" s="3" t="s">
        <v>19</v>
      </c>
      <c r="F295" s="3" t="s">
        <v>20</v>
      </c>
      <c r="G295" s="3" t="s">
        <v>583</v>
      </c>
      <c r="H295" s="3">
        <v>2017.0</v>
      </c>
      <c r="I295" s="3" t="str">
        <f>IF(DB!$H295&gt;1000,LEFT(DB!$H295,2)+1,LEFT(DB!$H295,1)+1)</f>
        <v>21</v>
      </c>
      <c r="J295" s="3" t="s">
        <v>67</v>
      </c>
      <c r="K295" s="3" t="s">
        <v>23</v>
      </c>
      <c r="L295" s="3" t="s">
        <v>584</v>
      </c>
      <c r="M295" s="3"/>
      <c r="N295" s="3">
        <v>104.0</v>
      </c>
      <c r="O295" s="5">
        <v>45289.0</v>
      </c>
      <c r="P295" s="3">
        <v>4.0</v>
      </c>
    </row>
    <row r="296" ht="14.25" customHeight="1">
      <c r="A296" s="3"/>
      <c r="B296" s="4" t="s">
        <v>585</v>
      </c>
      <c r="C296" s="4" t="s">
        <v>95</v>
      </c>
      <c r="D296" s="4" t="s">
        <v>60</v>
      </c>
      <c r="E296" s="3" t="s">
        <v>47</v>
      </c>
      <c r="F296" s="3" t="s">
        <v>42</v>
      </c>
      <c r="G296" s="3" t="s">
        <v>586</v>
      </c>
      <c r="H296" s="3">
        <v>2020.0</v>
      </c>
      <c r="I296" s="3" t="str">
        <f>IF(DB!$H296&gt;1000,LEFT(DB!$H296,2)+1,LEFT(DB!$H296,1)+1)</f>
        <v>21</v>
      </c>
      <c r="J296" s="3" t="s">
        <v>391</v>
      </c>
      <c r="K296" s="3" t="s">
        <v>23</v>
      </c>
      <c r="L296" s="3" t="s">
        <v>24</v>
      </c>
      <c r="M296" s="3"/>
      <c r="N296" s="3">
        <v>272.0</v>
      </c>
      <c r="O296" s="5">
        <v>45294.0</v>
      </c>
      <c r="P296" s="3">
        <v>5.0</v>
      </c>
    </row>
    <row r="297" ht="14.25" customHeight="1">
      <c r="A297" s="3"/>
      <c r="B297" s="4" t="s">
        <v>587</v>
      </c>
      <c r="C297" s="4" t="s">
        <v>588</v>
      </c>
      <c r="D297" s="4" t="s">
        <v>60</v>
      </c>
      <c r="E297" s="3" t="s">
        <v>41</v>
      </c>
      <c r="F297" s="3" t="s">
        <v>42</v>
      </c>
      <c r="G297" s="3" t="s">
        <v>589</v>
      </c>
      <c r="H297" s="3">
        <v>2009.0</v>
      </c>
      <c r="I297" s="3" t="str">
        <f>IF(DB!$H297&gt;1000,LEFT(DB!$H297,2)+1,LEFT(DB!$H297,1)+1)</f>
        <v>21</v>
      </c>
      <c r="J297" s="3" t="s">
        <v>590</v>
      </c>
      <c r="K297" s="3" t="s">
        <v>23</v>
      </c>
      <c r="L297" s="3" t="s">
        <v>24</v>
      </c>
      <c r="M297" s="3"/>
      <c r="N297" s="3">
        <v>218.0</v>
      </c>
      <c r="O297" s="5">
        <v>45302.0</v>
      </c>
      <c r="P297" s="3">
        <v>5.0</v>
      </c>
    </row>
    <row r="298" ht="14.25" customHeight="1">
      <c r="A298" s="3"/>
      <c r="B298" s="4" t="s">
        <v>591</v>
      </c>
      <c r="C298" s="4" t="s">
        <v>28</v>
      </c>
      <c r="D298" s="4" t="s">
        <v>18</v>
      </c>
      <c r="E298" s="3" t="s">
        <v>55</v>
      </c>
      <c r="F298" s="3" t="s">
        <v>42</v>
      </c>
      <c r="G298" s="3" t="s">
        <v>592</v>
      </c>
      <c r="H298" s="3">
        <v>1980.0</v>
      </c>
      <c r="I298" s="3" t="str">
        <f>IF(DB!$H298&gt;1000,LEFT(DB!$H298,2)+1,LEFT(DB!$H298,1)+1)</f>
        <v>20</v>
      </c>
      <c r="J298" s="3" t="s">
        <v>230</v>
      </c>
      <c r="K298" s="3" t="s">
        <v>23</v>
      </c>
      <c r="L298" s="3" t="s">
        <v>24</v>
      </c>
      <c r="M298" s="3"/>
      <c r="N298" s="3">
        <v>588.0</v>
      </c>
      <c r="O298" s="5">
        <v>45322.0</v>
      </c>
      <c r="P298" s="3">
        <v>4.5</v>
      </c>
    </row>
    <row r="299" ht="14.25" customHeight="1">
      <c r="A299" s="3"/>
      <c r="B299" s="4" t="s">
        <v>593</v>
      </c>
      <c r="C299" s="4" t="s">
        <v>424</v>
      </c>
      <c r="D299" s="4" t="s">
        <v>60</v>
      </c>
      <c r="E299" s="3" t="s">
        <v>594</v>
      </c>
      <c r="F299" s="3" t="s">
        <v>42</v>
      </c>
      <c r="G299" s="3" t="s">
        <v>595</v>
      </c>
      <c r="H299" s="3">
        <v>1950.0</v>
      </c>
      <c r="I299" s="3" t="str">
        <f>IF(DB!$H299&gt;1000,LEFT(DB!$H299,2)+1,LEFT(DB!$H299,1)+1)</f>
        <v>20</v>
      </c>
      <c r="J299" s="3" t="s">
        <v>596</v>
      </c>
      <c r="K299" s="3" t="s">
        <v>23</v>
      </c>
      <c r="L299" s="3" t="s">
        <v>24</v>
      </c>
      <c r="M299" s="3"/>
      <c r="N299" s="3">
        <v>1046.0</v>
      </c>
      <c r="O299" s="5">
        <v>45369.0</v>
      </c>
      <c r="P299" s="3">
        <v>5.0</v>
      </c>
    </row>
    <row r="300" ht="14.25" customHeight="1">
      <c r="A300" s="3"/>
      <c r="B300" s="4" t="s">
        <v>597</v>
      </c>
      <c r="C300" s="4" t="s">
        <v>28</v>
      </c>
      <c r="D300" s="4" t="s">
        <v>18</v>
      </c>
      <c r="E300" s="3" t="s">
        <v>383</v>
      </c>
      <c r="F300" s="3" t="s">
        <v>177</v>
      </c>
      <c r="G300" s="3" t="s">
        <v>384</v>
      </c>
      <c r="H300" s="3">
        <v>1986.0</v>
      </c>
      <c r="I300" s="3" t="str">
        <f>IF(DB!$H300&gt;1000,LEFT(DB!$H300,2)+1,LEFT(DB!$H300,1)+1)</f>
        <v>20</v>
      </c>
      <c r="J300" s="3" t="s">
        <v>67</v>
      </c>
      <c r="K300" s="3" t="s">
        <v>23</v>
      </c>
      <c r="L300" s="3" t="s">
        <v>24</v>
      </c>
      <c r="M300" s="3"/>
      <c r="N300" s="3">
        <v>232.0</v>
      </c>
      <c r="O300" s="5">
        <v>45373.0</v>
      </c>
      <c r="P300" s="3">
        <v>4.0</v>
      </c>
    </row>
    <row r="301" ht="14.25" customHeight="1">
      <c r="A301" s="3"/>
      <c r="B301" s="4" t="s">
        <v>598</v>
      </c>
      <c r="C301" s="4" t="s">
        <v>28</v>
      </c>
      <c r="D301" s="4" t="s">
        <v>18</v>
      </c>
      <c r="E301" s="3" t="s">
        <v>19</v>
      </c>
      <c r="F301" s="3" t="s">
        <v>20</v>
      </c>
      <c r="G301" s="3" t="s">
        <v>599</v>
      </c>
      <c r="H301" s="3">
        <v>1938.0</v>
      </c>
      <c r="I301" s="3" t="str">
        <f>IF(DB!$H301&gt;1000,LEFT(DB!$H301,2)+1,LEFT(DB!$H301,1)+1)</f>
        <v>20</v>
      </c>
      <c r="J301" s="3" t="s">
        <v>230</v>
      </c>
      <c r="K301" s="3" t="s">
        <v>23</v>
      </c>
      <c r="L301" s="3" t="s">
        <v>24</v>
      </c>
      <c r="M301" s="3"/>
      <c r="N301" s="3">
        <v>176.0</v>
      </c>
      <c r="O301" s="5">
        <v>45378.0</v>
      </c>
      <c r="P301" s="3">
        <v>3.5</v>
      </c>
    </row>
    <row r="302" ht="14.25" customHeight="1">
      <c r="A302" s="3"/>
      <c r="B302" s="4" t="s">
        <v>600</v>
      </c>
      <c r="C302" s="4" t="s">
        <v>424</v>
      </c>
      <c r="D302" s="4" t="s">
        <v>60</v>
      </c>
      <c r="E302" s="3" t="s">
        <v>146</v>
      </c>
      <c r="F302" s="3" t="s">
        <v>42</v>
      </c>
      <c r="G302" s="3" t="s">
        <v>601</v>
      </c>
      <c r="H302" s="3">
        <v>1929.0</v>
      </c>
      <c r="I302" s="3" t="str">
        <f>IF(DB!$H302&gt;1000,LEFT(DB!$H302,2)+1,LEFT(DB!$H302,1)+1)</f>
        <v>20</v>
      </c>
      <c r="J302" s="3" t="s">
        <v>165</v>
      </c>
      <c r="K302" s="3" t="s">
        <v>23</v>
      </c>
      <c r="L302" s="3" t="s">
        <v>24</v>
      </c>
      <c r="M302" s="3"/>
      <c r="N302" s="3">
        <v>312.0</v>
      </c>
      <c r="O302" s="5">
        <v>45384.0</v>
      </c>
      <c r="P302" s="3">
        <v>3.5</v>
      </c>
    </row>
    <row r="303" ht="14.25" customHeight="1">
      <c r="A303" s="3"/>
      <c r="B303" s="4" t="s">
        <v>602</v>
      </c>
      <c r="C303" s="4" t="s">
        <v>28</v>
      </c>
      <c r="D303" s="4" t="s">
        <v>18</v>
      </c>
      <c r="E303" s="3" t="s">
        <v>55</v>
      </c>
      <c r="F303" s="3" t="s">
        <v>42</v>
      </c>
      <c r="G303" s="3" t="s">
        <v>507</v>
      </c>
      <c r="H303" s="3">
        <v>2012.0</v>
      </c>
      <c r="I303" s="3" t="str">
        <f>IF(DB!$H303&gt;1000,LEFT(DB!$H303,2)+1,LEFT(DB!$H303,1)+1)</f>
        <v>21</v>
      </c>
      <c r="J303" s="3" t="s">
        <v>207</v>
      </c>
      <c r="K303" s="3" t="s">
        <v>33</v>
      </c>
      <c r="L303" s="3" t="s">
        <v>79</v>
      </c>
      <c r="M303" s="3"/>
      <c r="N303" s="3">
        <v>472.0</v>
      </c>
      <c r="O303" s="5">
        <v>45400.0</v>
      </c>
      <c r="P303" s="3">
        <v>5.0</v>
      </c>
    </row>
    <row r="304" ht="14.25" customHeight="1">
      <c r="A304" s="3"/>
      <c r="B304" s="4" t="s">
        <v>603</v>
      </c>
      <c r="C304" s="4" t="s">
        <v>533</v>
      </c>
      <c r="D304" s="4" t="s">
        <v>60</v>
      </c>
      <c r="E304" s="3" t="s">
        <v>36</v>
      </c>
      <c r="F304" s="3" t="s">
        <v>37</v>
      </c>
      <c r="G304" s="3" t="s">
        <v>604</v>
      </c>
      <c r="H304" s="3">
        <v>1981.0</v>
      </c>
      <c r="I304" s="3" t="str">
        <f>IF(DB!$H304&gt;1000,LEFT(DB!$H304,2)+1,LEFT(DB!$H304,1)+1)</f>
        <v>20</v>
      </c>
      <c r="J304" s="3" t="s">
        <v>605</v>
      </c>
      <c r="K304" s="3" t="s">
        <v>33</v>
      </c>
      <c r="L304" s="3" t="s">
        <v>34</v>
      </c>
      <c r="M304" s="3" t="s">
        <v>18</v>
      </c>
      <c r="N304" s="3">
        <v>248.0</v>
      </c>
      <c r="O304" s="5">
        <v>45411.0</v>
      </c>
      <c r="P304" s="3">
        <v>5.0</v>
      </c>
    </row>
    <row r="305" ht="14.25" customHeight="1">
      <c r="A305" s="3"/>
      <c r="B305" s="4" t="s">
        <v>606</v>
      </c>
      <c r="C305" s="4" t="s">
        <v>28</v>
      </c>
      <c r="D305" s="4" t="s">
        <v>18</v>
      </c>
      <c r="E305" s="3" t="s">
        <v>36</v>
      </c>
      <c r="F305" s="3" t="s">
        <v>37</v>
      </c>
      <c r="G305" s="3" t="s">
        <v>607</v>
      </c>
      <c r="H305" s="3">
        <v>1987.0</v>
      </c>
      <c r="I305" s="3" t="str">
        <f>IF(DB!$H305&gt;1000,LEFT(DB!$H305,2)+1,LEFT(DB!$H305,1)+1)</f>
        <v>20</v>
      </c>
      <c r="J305" s="3" t="s">
        <v>32</v>
      </c>
      <c r="K305" s="3" t="s">
        <v>33</v>
      </c>
      <c r="L305" s="3" t="s">
        <v>34</v>
      </c>
      <c r="M305" s="3"/>
      <c r="N305" s="3">
        <v>370.0</v>
      </c>
      <c r="O305" s="5">
        <v>45433.0</v>
      </c>
      <c r="P305" s="3">
        <v>4.5</v>
      </c>
    </row>
    <row r="306" ht="14.25" customHeight="1">
      <c r="A306" s="3"/>
      <c r="B306" s="4" t="s">
        <v>608</v>
      </c>
      <c r="C306" s="4" t="s">
        <v>533</v>
      </c>
      <c r="D306" s="4" t="s">
        <v>60</v>
      </c>
      <c r="E306" s="3" t="s">
        <v>19</v>
      </c>
      <c r="F306" s="3" t="s">
        <v>20</v>
      </c>
      <c r="G306" s="3" t="s">
        <v>609</v>
      </c>
      <c r="H306" s="3">
        <v>2023.0</v>
      </c>
      <c r="I306" s="3" t="str">
        <f>IF(DB!$H306&gt;1000,LEFT(DB!$H306,2)+1,LEFT(DB!$H306,1)+1)</f>
        <v>21</v>
      </c>
      <c r="J306" s="3" t="s">
        <v>374</v>
      </c>
      <c r="K306" s="3" t="s">
        <v>23</v>
      </c>
      <c r="L306" s="3" t="s">
        <v>24</v>
      </c>
      <c r="M306" s="3"/>
      <c r="N306" s="3">
        <v>304.0</v>
      </c>
      <c r="O306" s="5">
        <v>45443.0</v>
      </c>
      <c r="P306" s="3">
        <v>4.0</v>
      </c>
    </row>
    <row r="307" ht="14.25" customHeight="1">
      <c r="A307" s="3"/>
      <c r="B307" s="4" t="s">
        <v>610</v>
      </c>
      <c r="C307" s="4" t="s">
        <v>611</v>
      </c>
      <c r="D307" s="4" t="s">
        <v>60</v>
      </c>
      <c r="E307" s="3" t="s">
        <v>19</v>
      </c>
      <c r="F307" s="3" t="s">
        <v>20</v>
      </c>
      <c r="G307" s="3" t="s">
        <v>612</v>
      </c>
      <c r="H307" s="3">
        <v>1960.0</v>
      </c>
      <c r="I307" s="3" t="str">
        <f>IF(DB!$H307&gt;1000,LEFT(DB!$H307,2)+1,LEFT(DB!$H307,1)+1)</f>
        <v>20</v>
      </c>
      <c r="J307" s="3" t="s">
        <v>364</v>
      </c>
      <c r="K307" s="3" t="s">
        <v>33</v>
      </c>
      <c r="L307" s="3" t="s">
        <v>34</v>
      </c>
      <c r="M307" s="3"/>
      <c r="N307" s="3">
        <v>264.0</v>
      </c>
      <c r="O307" s="5">
        <v>45461.0</v>
      </c>
      <c r="P307" s="3">
        <v>4.5</v>
      </c>
    </row>
    <row r="308" ht="14.25" customHeight="1">
      <c r="A308" s="3"/>
      <c r="B308" s="4" t="s">
        <v>613</v>
      </c>
      <c r="C308" s="4" t="s">
        <v>533</v>
      </c>
      <c r="D308" s="4" t="s">
        <v>60</v>
      </c>
      <c r="E308" s="3" t="s">
        <v>19</v>
      </c>
      <c r="F308" s="3" t="s">
        <v>20</v>
      </c>
      <c r="G308" s="3" t="s">
        <v>614</v>
      </c>
      <c r="H308" s="3">
        <v>2023.0</v>
      </c>
      <c r="I308" s="3" t="str">
        <f>IF(DB!$H308&gt;1000,LEFT(DB!$H308,2)+1,LEFT(DB!$H308,1)+1)</f>
        <v>21</v>
      </c>
      <c r="J308" s="3" t="s">
        <v>615</v>
      </c>
      <c r="K308" s="3" t="s">
        <v>33</v>
      </c>
      <c r="L308" s="3" t="s">
        <v>24</v>
      </c>
      <c r="M308" s="3"/>
      <c r="N308" s="3">
        <v>176.0</v>
      </c>
      <c r="O308" s="5">
        <v>45469.0</v>
      </c>
      <c r="P308" s="3">
        <v>4.0</v>
      </c>
    </row>
    <row r="309" ht="14.25" customHeight="1">
      <c r="A309" s="3"/>
      <c r="B309" s="4" t="s">
        <v>616</v>
      </c>
      <c r="C309" s="4" t="s">
        <v>617</v>
      </c>
      <c r="D309" s="4" t="s">
        <v>18</v>
      </c>
      <c r="E309" s="3" t="s">
        <v>36</v>
      </c>
      <c r="F309" s="3" t="s">
        <v>37</v>
      </c>
      <c r="G309" s="3" t="s">
        <v>618</v>
      </c>
      <c r="H309" s="3">
        <v>1959.0</v>
      </c>
      <c r="I309" s="3" t="str">
        <f>IF(DB!$H309&gt;1000,LEFT(DB!$H309,2)+1,LEFT(DB!$H309,1)+1)</f>
        <v>20</v>
      </c>
      <c r="J309" s="3" t="s">
        <v>173</v>
      </c>
      <c r="K309" s="3" t="s">
        <v>23</v>
      </c>
      <c r="L309" s="3" t="s">
        <v>24</v>
      </c>
      <c r="M309" s="3"/>
      <c r="N309" s="3">
        <v>240.0</v>
      </c>
      <c r="O309" s="5">
        <v>45472.0</v>
      </c>
      <c r="P309" s="3">
        <v>3.5</v>
      </c>
    </row>
    <row r="310" ht="14.25" customHeight="1">
      <c r="A310" s="3"/>
      <c r="B310" s="4" t="s">
        <v>619</v>
      </c>
      <c r="C310" s="4" t="s">
        <v>28</v>
      </c>
      <c r="D310" s="4" t="s">
        <v>18</v>
      </c>
      <c r="E310" s="3" t="s">
        <v>620</v>
      </c>
      <c r="F310" s="3" t="s">
        <v>20</v>
      </c>
      <c r="G310" s="3" t="s">
        <v>621</v>
      </c>
      <c r="H310" s="3">
        <v>1996.0</v>
      </c>
      <c r="I310" s="3" t="str">
        <f>IF(DB!$H310&gt;1000,LEFT(DB!$H310,2)+1,LEFT(DB!$H310,1)+1)</f>
        <v>20</v>
      </c>
      <c r="J310" s="3" t="s">
        <v>32</v>
      </c>
      <c r="K310" s="3" t="s">
        <v>33</v>
      </c>
      <c r="L310" s="3" t="s">
        <v>34</v>
      </c>
      <c r="M310" s="3"/>
      <c r="N310" s="3">
        <v>176.0</v>
      </c>
      <c r="O310" s="5">
        <v>45488.0</v>
      </c>
      <c r="P310" s="3">
        <v>3.5</v>
      </c>
    </row>
    <row r="311" ht="14.25" customHeight="1">
      <c r="A311" s="3"/>
      <c r="B311" s="4" t="s">
        <v>622</v>
      </c>
      <c r="C311" s="4" t="s">
        <v>28</v>
      </c>
      <c r="D311" s="4" t="s">
        <v>18</v>
      </c>
      <c r="E311" s="3" t="s">
        <v>623</v>
      </c>
      <c r="F311" s="3" t="s">
        <v>20</v>
      </c>
      <c r="G311" s="3" t="s">
        <v>624</v>
      </c>
      <c r="H311" s="3">
        <v>2007.0</v>
      </c>
      <c r="I311" s="3" t="str">
        <f>IF(DB!$H311&gt;1000,LEFT(DB!$H311,2)+1,LEFT(DB!$H311,1)+1)</f>
        <v>21</v>
      </c>
      <c r="J311" s="3" t="s">
        <v>230</v>
      </c>
      <c r="K311" s="3" t="s">
        <v>23</v>
      </c>
      <c r="L311" s="3" t="s">
        <v>34</v>
      </c>
      <c r="M311" s="3"/>
      <c r="N311" s="3">
        <v>308.0</v>
      </c>
      <c r="O311" s="5">
        <v>45502.0</v>
      </c>
      <c r="P311" s="3">
        <v>3.5</v>
      </c>
    </row>
    <row r="312" ht="14.25" customHeight="1">
      <c r="A312" s="3"/>
      <c r="B312" s="4" t="s">
        <v>625</v>
      </c>
      <c r="C312" s="4" t="s">
        <v>626</v>
      </c>
      <c r="D312" s="4" t="s">
        <v>18</v>
      </c>
      <c r="E312" s="3" t="s">
        <v>283</v>
      </c>
      <c r="F312" s="3" t="s">
        <v>20</v>
      </c>
      <c r="G312" s="3" t="s">
        <v>284</v>
      </c>
      <c r="H312" s="3">
        <v>2024.0</v>
      </c>
      <c r="I312" s="3" t="str">
        <f>IF(DB!$H312&gt;1000,LEFT(DB!$H312,2)+1,LEFT(DB!$H312,1)+1)</f>
        <v>21</v>
      </c>
      <c r="J312" s="3" t="s">
        <v>230</v>
      </c>
      <c r="K312" s="3" t="s">
        <v>23</v>
      </c>
      <c r="L312" s="3" t="s">
        <v>24</v>
      </c>
      <c r="M312" s="3"/>
      <c r="N312" s="3">
        <v>132.0</v>
      </c>
      <c r="O312" s="5">
        <v>45503.0</v>
      </c>
      <c r="P312" s="3">
        <v>3.5</v>
      </c>
    </row>
    <row r="313" ht="14.25" customHeight="1">
      <c r="A313" s="3"/>
      <c r="B313" s="4" t="s">
        <v>627</v>
      </c>
      <c r="C313" s="4" t="s">
        <v>93</v>
      </c>
      <c r="D313" s="4" t="s">
        <v>60</v>
      </c>
      <c r="E313" s="3" t="s">
        <v>140</v>
      </c>
      <c r="F313" s="3" t="s">
        <v>42</v>
      </c>
      <c r="G313" s="3" t="s">
        <v>206</v>
      </c>
      <c r="H313" s="3">
        <v>2020.0</v>
      </c>
      <c r="I313" s="3" t="str">
        <f>IF(DB!$H313&gt;1000,LEFT(DB!$H313,2)+1,LEFT(DB!$H313,1)+1)</f>
        <v>21</v>
      </c>
      <c r="J313" s="3" t="s">
        <v>207</v>
      </c>
      <c r="K313" s="3" t="s">
        <v>23</v>
      </c>
      <c r="L313" s="3" t="s">
        <v>24</v>
      </c>
      <c r="M313" s="3"/>
      <c r="N313" s="3">
        <v>256.0</v>
      </c>
      <c r="O313" s="5">
        <v>45516.0</v>
      </c>
      <c r="P313" s="3">
        <v>4.0</v>
      </c>
    </row>
    <row r="314" ht="14.25" customHeight="1">
      <c r="A314" s="3"/>
      <c r="B314" s="4" t="s">
        <v>628</v>
      </c>
      <c r="C314" s="4" t="s">
        <v>28</v>
      </c>
      <c r="D314" s="4" t="s">
        <v>18</v>
      </c>
      <c r="E314" s="3" t="s">
        <v>140</v>
      </c>
      <c r="F314" s="3" t="s">
        <v>42</v>
      </c>
      <c r="G314" s="3" t="s">
        <v>141</v>
      </c>
      <c r="H314" s="3">
        <v>2002.0</v>
      </c>
      <c r="I314" s="3" t="str">
        <f>IF(DB!$H314&gt;1000,LEFT(DB!$H314,2)+1,LEFT(DB!$H314,1)+1)</f>
        <v>21</v>
      </c>
      <c r="J314" s="3" t="s">
        <v>67</v>
      </c>
      <c r="K314" s="3" t="s">
        <v>23</v>
      </c>
      <c r="L314" s="3" t="s">
        <v>24</v>
      </c>
      <c r="M314" s="3"/>
      <c r="N314" s="3">
        <v>288.0</v>
      </c>
      <c r="O314" s="5">
        <v>45545.0</v>
      </c>
      <c r="P314" s="3">
        <v>3.5</v>
      </c>
    </row>
    <row r="315" ht="14.25" customHeight="1">
      <c r="A315" s="3"/>
      <c r="B315" s="4" t="s">
        <v>629</v>
      </c>
      <c r="C315" s="4" t="s">
        <v>28</v>
      </c>
      <c r="D315" s="4" t="s">
        <v>18</v>
      </c>
      <c r="E315" s="3" t="s">
        <v>630</v>
      </c>
      <c r="F315" s="3" t="s">
        <v>30</v>
      </c>
      <c r="G315" s="3" t="s">
        <v>631</v>
      </c>
      <c r="H315" s="3">
        <v>2021.0</v>
      </c>
      <c r="I315" s="3" t="str">
        <f>IF(DB!$H315&gt;1000,LEFT(DB!$H315,2)+1,LEFT(DB!$H315,1)+1)</f>
        <v>21</v>
      </c>
      <c r="J315" s="3" t="s">
        <v>571</v>
      </c>
      <c r="K315" s="3" t="s">
        <v>23</v>
      </c>
      <c r="L315" s="3" t="s">
        <v>34</v>
      </c>
      <c r="M315" s="3"/>
      <c r="N315" s="3">
        <v>400.0</v>
      </c>
      <c r="O315" s="5">
        <v>45559.0</v>
      </c>
      <c r="P315" s="3">
        <v>5.0</v>
      </c>
    </row>
    <row r="316" ht="14.25" customHeight="1">
      <c r="A316" s="3"/>
      <c r="B316" s="4" t="s">
        <v>632</v>
      </c>
      <c r="C316" s="4" t="s">
        <v>110</v>
      </c>
      <c r="D316" s="4" t="s">
        <v>18</v>
      </c>
      <c r="E316" s="3" t="s">
        <v>19</v>
      </c>
      <c r="F316" s="3" t="s">
        <v>20</v>
      </c>
      <c r="G316" s="3" t="s">
        <v>633</v>
      </c>
      <c r="H316" s="3">
        <v>2014.0</v>
      </c>
      <c r="I316" s="3" t="str">
        <f>IF(DB!$H316&gt;1000,LEFT(DB!$H316,2)+1,LEFT(DB!$H316,1)+1)</f>
        <v>21</v>
      </c>
      <c r="J316" s="3" t="s">
        <v>460</v>
      </c>
      <c r="K316" s="3" t="s">
        <v>33</v>
      </c>
      <c r="L316" s="3" t="s">
        <v>34</v>
      </c>
      <c r="M316" s="3"/>
      <c r="N316" s="3">
        <v>116.0</v>
      </c>
      <c r="O316" s="5">
        <v>45563.0</v>
      </c>
      <c r="P316" s="3">
        <v>3.5</v>
      </c>
    </row>
    <row r="317" ht="14.25" customHeight="1">
      <c r="A317" s="3"/>
      <c r="B317" s="4" t="s">
        <v>634</v>
      </c>
      <c r="C317" s="4" t="s">
        <v>93</v>
      </c>
      <c r="D317" s="4" t="s">
        <v>60</v>
      </c>
      <c r="E317" s="3" t="s">
        <v>19</v>
      </c>
      <c r="F317" s="3" t="s">
        <v>20</v>
      </c>
      <c r="G317" s="3" t="s">
        <v>635</v>
      </c>
      <c r="H317" s="3">
        <v>2024.0</v>
      </c>
      <c r="I317" s="3" t="str">
        <f>IF(DB!$H317&gt;1000,LEFT(DB!$H317,2)+1,LEFT(DB!$H317,1)+1)</f>
        <v>21</v>
      </c>
      <c r="J317" s="3" t="s">
        <v>67</v>
      </c>
      <c r="K317" s="3" t="s">
        <v>23</v>
      </c>
      <c r="L317" s="3" t="s">
        <v>24</v>
      </c>
      <c r="M317" s="3"/>
      <c r="N317" s="3">
        <v>168.0</v>
      </c>
      <c r="O317" s="5">
        <v>45565.0</v>
      </c>
      <c r="P317" s="3">
        <v>4.0</v>
      </c>
    </row>
    <row r="318" ht="14.25" customHeight="1">
      <c r="A318" s="3"/>
      <c r="B318" s="4" t="s">
        <v>636</v>
      </c>
      <c r="C318" s="4" t="s">
        <v>28</v>
      </c>
      <c r="D318" s="4" t="s">
        <v>18</v>
      </c>
      <c r="E318" s="3" t="s">
        <v>19</v>
      </c>
      <c r="F318" s="3" t="s">
        <v>20</v>
      </c>
      <c r="G318" s="3" t="s">
        <v>635</v>
      </c>
      <c r="H318" s="3">
        <v>2019.0</v>
      </c>
      <c r="I318" s="3" t="str">
        <f>IF(DB!$H318&gt;1000,LEFT(DB!$H318,2)+1,LEFT(DB!$H318,1)+1)</f>
        <v>21</v>
      </c>
      <c r="J318" s="3" t="s">
        <v>67</v>
      </c>
      <c r="K318" s="3" t="s">
        <v>23</v>
      </c>
      <c r="L318" s="3" t="s">
        <v>24</v>
      </c>
      <c r="M318" s="3"/>
      <c r="N318" s="3">
        <v>200.0</v>
      </c>
      <c r="O318" s="5">
        <v>45572.0</v>
      </c>
      <c r="P318" s="3">
        <v>3.5</v>
      </c>
    </row>
    <row r="319" ht="14.25" customHeight="1">
      <c r="A319" s="3"/>
      <c r="B319" s="4" t="s">
        <v>637</v>
      </c>
      <c r="C319" s="4" t="s">
        <v>28</v>
      </c>
      <c r="D319" s="4" t="s">
        <v>18</v>
      </c>
      <c r="E319" s="3" t="s">
        <v>55</v>
      </c>
      <c r="F319" s="3" t="s">
        <v>42</v>
      </c>
      <c r="G319" s="3" t="s">
        <v>507</v>
      </c>
      <c r="H319" s="3">
        <v>2013.0</v>
      </c>
      <c r="I319" s="3" t="str">
        <f>IF(DB!$H319&gt;1000,LEFT(DB!$H319,2)+1,LEFT(DB!$H319,1)+1)</f>
        <v>21</v>
      </c>
      <c r="J319" s="3" t="s">
        <v>207</v>
      </c>
      <c r="K319" s="3" t="s">
        <v>33</v>
      </c>
      <c r="L319" s="3" t="s">
        <v>79</v>
      </c>
      <c r="M319" s="3"/>
      <c r="N319" s="3">
        <v>416.0</v>
      </c>
      <c r="O319" s="5">
        <v>45597.0</v>
      </c>
      <c r="P319" s="3">
        <v>4.0</v>
      </c>
    </row>
    <row r="320" ht="14.25" customHeight="1">
      <c r="A320" s="3"/>
      <c r="B320" s="4" t="s">
        <v>638</v>
      </c>
      <c r="C320" s="4" t="s">
        <v>28</v>
      </c>
      <c r="D320" s="4" t="s">
        <v>18</v>
      </c>
      <c r="E320" s="3" t="s">
        <v>19</v>
      </c>
      <c r="F320" s="3" t="s">
        <v>20</v>
      </c>
      <c r="G320" s="3" t="s">
        <v>639</v>
      </c>
      <c r="H320" s="3">
        <v>2006.0</v>
      </c>
      <c r="I320" s="3" t="str">
        <f>IF(DB!$H320&gt;1000,LEFT(DB!$H320,2)+1,LEFT(DB!$H320,1)+1)</f>
        <v>21</v>
      </c>
      <c r="J320" s="3" t="s">
        <v>230</v>
      </c>
      <c r="K320" s="3" t="s">
        <v>33</v>
      </c>
      <c r="L320" s="3" t="s">
        <v>34</v>
      </c>
      <c r="M320" s="3"/>
      <c r="N320" s="3">
        <v>966.0</v>
      </c>
      <c r="O320" s="5">
        <v>45654.0</v>
      </c>
      <c r="P320" s="3">
        <v>4.5</v>
      </c>
    </row>
    <row r="321" ht="14.25" customHeight="1">
      <c r="A321" s="3"/>
      <c r="B321" s="4" t="s">
        <v>640</v>
      </c>
      <c r="C321" s="4" t="s">
        <v>28</v>
      </c>
      <c r="D321" s="4" t="s">
        <v>18</v>
      </c>
      <c r="E321" s="3" t="s">
        <v>74</v>
      </c>
      <c r="F321" s="3" t="s">
        <v>42</v>
      </c>
      <c r="G321" s="3" t="s">
        <v>641</v>
      </c>
      <c r="H321" s="3">
        <v>1890.0</v>
      </c>
      <c r="I321" s="3" t="str">
        <f>IF(DB!$H321&gt;1000,LEFT(DB!$H321,2)+1,LEFT(DB!$H321,1)+1)</f>
        <v>19</v>
      </c>
      <c r="J321" s="3" t="s">
        <v>513</v>
      </c>
      <c r="K321" s="3" t="s">
        <v>23</v>
      </c>
      <c r="L321" s="3" t="s">
        <v>24</v>
      </c>
      <c r="M321" s="3" t="s">
        <v>18</v>
      </c>
      <c r="N321" s="3">
        <v>520.0</v>
      </c>
      <c r="O321" s="5">
        <v>45677.0</v>
      </c>
      <c r="P321" s="3">
        <v>4.5</v>
      </c>
    </row>
    <row r="322" ht="14.25" customHeight="1">
      <c r="A322" s="3"/>
      <c r="B322" s="4" t="s">
        <v>642</v>
      </c>
      <c r="C322" s="4" t="s">
        <v>533</v>
      </c>
      <c r="D322" s="4" t="s">
        <v>60</v>
      </c>
      <c r="E322" s="3" t="s">
        <v>19</v>
      </c>
      <c r="F322" s="3" t="s">
        <v>20</v>
      </c>
      <c r="G322" s="3" t="s">
        <v>643</v>
      </c>
      <c r="H322" s="3">
        <v>1992.0</v>
      </c>
      <c r="I322" s="3" t="str">
        <f>IF(DB!$H322&gt;1000,LEFT(DB!$H322,2)+1,LEFT(DB!$H322,1)+1)</f>
        <v>20</v>
      </c>
      <c r="J322" s="3" t="s">
        <v>230</v>
      </c>
      <c r="K322" s="3" t="s">
        <v>23</v>
      </c>
      <c r="L322" s="3" t="s">
        <v>24</v>
      </c>
      <c r="M322" s="3"/>
      <c r="N322" s="3">
        <v>352.0</v>
      </c>
      <c r="O322" s="5">
        <v>45694.0</v>
      </c>
      <c r="P322" s="3">
        <v>5.0</v>
      </c>
    </row>
    <row r="323" ht="14.25" customHeight="1">
      <c r="A323" s="3"/>
      <c r="B323" s="4" t="s">
        <v>644</v>
      </c>
      <c r="C323" s="4" t="s">
        <v>28</v>
      </c>
      <c r="D323" s="4" t="s">
        <v>18</v>
      </c>
      <c r="E323" s="3" t="s">
        <v>645</v>
      </c>
      <c r="F323" s="3" t="s">
        <v>30</v>
      </c>
      <c r="G323" s="3" t="s">
        <v>646</v>
      </c>
      <c r="H323" s="3">
        <v>2023.0</v>
      </c>
      <c r="I323" s="3" t="str">
        <f>IF(DB!$H323&gt;1000,LEFT(DB!$H323,2)+1,LEFT(DB!$H323,1)+1)</f>
        <v>21</v>
      </c>
      <c r="J323" s="3" t="s">
        <v>32</v>
      </c>
      <c r="K323" s="3" t="s">
        <v>33</v>
      </c>
      <c r="L323" s="3"/>
      <c r="M323" s="3"/>
      <c r="N323" s="3">
        <v>272.0</v>
      </c>
      <c r="O323" s="5">
        <v>45712.0</v>
      </c>
      <c r="P323" s="3">
        <v>3.5</v>
      </c>
    </row>
    <row r="324" ht="14.25" customHeight="1">
      <c r="A324" s="3"/>
      <c r="B324" s="4" t="s">
        <v>647</v>
      </c>
      <c r="C324" s="4" t="s">
        <v>648</v>
      </c>
      <c r="D324" s="4" t="s">
        <v>18</v>
      </c>
      <c r="E324" s="3" t="s">
        <v>36</v>
      </c>
      <c r="F324" s="3" t="s">
        <v>37</v>
      </c>
      <c r="G324" s="3" t="s">
        <v>649</v>
      </c>
      <c r="H324" s="3">
        <v>2014.0</v>
      </c>
      <c r="I324" s="3" t="str">
        <f>IF(DB!$H324&gt;1000,LEFT(DB!$H324,2)+1,LEFT(DB!$H324,1)+1)</f>
        <v>21</v>
      </c>
      <c r="J324" s="3" t="s">
        <v>650</v>
      </c>
      <c r="K324" s="3" t="s">
        <v>23</v>
      </c>
      <c r="L324" s="3" t="s">
        <v>24</v>
      </c>
      <c r="M324" s="3"/>
      <c r="N324" s="3">
        <v>320.0</v>
      </c>
      <c r="O324" s="5">
        <v>45752.0</v>
      </c>
      <c r="P324" s="3">
        <v>4.0</v>
      </c>
    </row>
    <row r="325" ht="14.25" customHeight="1">
      <c r="A325" s="3"/>
      <c r="B325" s="4" t="s">
        <v>651</v>
      </c>
      <c r="C325" s="4" t="s">
        <v>28</v>
      </c>
      <c r="D325" s="4" t="s">
        <v>18</v>
      </c>
      <c r="E325" s="3" t="s">
        <v>652</v>
      </c>
      <c r="F325" s="3" t="s">
        <v>20</v>
      </c>
      <c r="G325" s="3" t="s">
        <v>653</v>
      </c>
      <c r="H325" s="3">
        <v>1929.0</v>
      </c>
      <c r="I325" s="3" t="str">
        <f>IF(DB!$H325&gt;1000,LEFT(DB!$H325,2)+1,LEFT(DB!$H325,1)+1)</f>
        <v>20</v>
      </c>
      <c r="J325" s="3" t="s">
        <v>654</v>
      </c>
      <c r="K325" s="3" t="s">
        <v>23</v>
      </c>
      <c r="L325" s="3" t="s">
        <v>24</v>
      </c>
      <c r="M325" s="3"/>
      <c r="N325" s="3">
        <v>400.0</v>
      </c>
      <c r="O325" s="5">
        <v>45752.0</v>
      </c>
      <c r="P325" s="3">
        <v>3.5</v>
      </c>
    </row>
    <row r="326" ht="14.25" customHeight="1">
      <c r="A326" s="3"/>
      <c r="B326" s="4" t="s">
        <v>655</v>
      </c>
      <c r="C326" s="4" t="s">
        <v>28</v>
      </c>
      <c r="D326" s="4" t="s">
        <v>18</v>
      </c>
      <c r="E326" s="3" t="s">
        <v>19</v>
      </c>
      <c r="F326" s="3" t="s">
        <v>20</v>
      </c>
      <c r="G326" s="3" t="s">
        <v>656</v>
      </c>
      <c r="H326" s="3">
        <v>2002.0</v>
      </c>
      <c r="I326" s="3" t="str">
        <f>IF(DB!$H326&gt;1000,LEFT(DB!$H326,2)+1,LEFT(DB!$H326,1)+1)</f>
        <v>21</v>
      </c>
      <c r="J326" s="3" t="s">
        <v>67</v>
      </c>
      <c r="K326" s="3" t="s">
        <v>23</v>
      </c>
      <c r="L326" s="3" t="s">
        <v>24</v>
      </c>
      <c r="M326" s="3"/>
      <c r="N326" s="3">
        <v>152.0</v>
      </c>
      <c r="O326" s="5">
        <v>45762.0</v>
      </c>
      <c r="P326" s="3">
        <v>3.5</v>
      </c>
    </row>
    <row r="327" ht="14.25" customHeight="1">
      <c r="A327" s="3"/>
      <c r="B327" s="4" t="s">
        <v>657</v>
      </c>
      <c r="C327" s="4" t="s">
        <v>465</v>
      </c>
      <c r="D327" s="4" t="s">
        <v>60</v>
      </c>
      <c r="E327" s="3" t="s">
        <v>47</v>
      </c>
      <c r="F327" s="3" t="s">
        <v>42</v>
      </c>
      <c r="G327" s="3" t="s">
        <v>658</v>
      </c>
      <c r="H327" s="3">
        <v>2023.0</v>
      </c>
      <c r="I327" s="3" t="str">
        <f>IF(DB!$H327&gt;1000,LEFT(DB!$H327,2)+1,LEFT(DB!$H327,1)+1)</f>
        <v>21</v>
      </c>
      <c r="J327" s="3" t="s">
        <v>374</v>
      </c>
      <c r="K327" s="3" t="s">
        <v>23</v>
      </c>
      <c r="L327" s="3" t="s">
        <v>24</v>
      </c>
      <c r="M327" s="3"/>
      <c r="N327" s="3">
        <v>72.0</v>
      </c>
      <c r="O327" s="5">
        <v>45762.0</v>
      </c>
      <c r="P327" s="3">
        <v>4.0</v>
      </c>
    </row>
    <row r="328" ht="14.25" customHeight="1">
      <c r="A328" s="3"/>
      <c r="B328" s="4" t="s">
        <v>659</v>
      </c>
      <c r="C328" s="4" t="s">
        <v>404</v>
      </c>
      <c r="D328" s="4" t="s">
        <v>60</v>
      </c>
      <c r="E328" s="3" t="s">
        <v>19</v>
      </c>
      <c r="F328" s="3" t="s">
        <v>20</v>
      </c>
      <c r="G328" s="3" t="s">
        <v>660</v>
      </c>
      <c r="H328" s="3">
        <v>1996.0</v>
      </c>
      <c r="I328" s="3" t="str">
        <f>IF(DB!$H328&gt;1000,LEFT(DB!$H328,2)+1,LEFT(DB!$H328,1)+1)</f>
        <v>20</v>
      </c>
      <c r="J328" s="3" t="s">
        <v>100</v>
      </c>
      <c r="K328" s="3" t="s">
        <v>23</v>
      </c>
      <c r="L328" s="3" t="s">
        <v>24</v>
      </c>
      <c r="M328" s="3"/>
      <c r="N328" s="3">
        <v>64.0</v>
      </c>
      <c r="O328" s="5">
        <v>45773.0</v>
      </c>
      <c r="P328" s="3">
        <v>5.0</v>
      </c>
    </row>
    <row r="329" ht="14.25" customHeight="1">
      <c r="A329" s="3"/>
      <c r="B329" s="4" t="s">
        <v>661</v>
      </c>
      <c r="C329" s="4" t="s">
        <v>28</v>
      </c>
      <c r="D329" s="4" t="s">
        <v>18</v>
      </c>
      <c r="E329" s="3" t="s">
        <v>662</v>
      </c>
      <c r="F329" s="3" t="s">
        <v>177</v>
      </c>
      <c r="G329" s="3" t="s">
        <v>663</v>
      </c>
      <c r="H329" s="3">
        <v>2007.0</v>
      </c>
      <c r="I329" s="3" t="str">
        <f>IF(DB!$H329&gt;1000,LEFT(DB!$H329,2)+1,LEFT(DB!$H329,1)+1)</f>
        <v>21</v>
      </c>
      <c r="J329" s="3" t="s">
        <v>374</v>
      </c>
      <c r="K329" s="3" t="s">
        <v>33</v>
      </c>
      <c r="L329" s="3" t="s">
        <v>24</v>
      </c>
      <c r="M329" s="3"/>
      <c r="N329" s="3">
        <v>176.0</v>
      </c>
      <c r="O329" s="5">
        <v>45776.0</v>
      </c>
      <c r="P329" s="3">
        <v>3.5</v>
      </c>
    </row>
    <row r="330" ht="14.25" customHeight="1">
      <c r="A330" s="3"/>
      <c r="B330" s="4" t="s">
        <v>664</v>
      </c>
      <c r="C330" s="4" t="s">
        <v>665</v>
      </c>
      <c r="D330" s="4" t="s">
        <v>60</v>
      </c>
      <c r="E330" s="3" t="s">
        <v>19</v>
      </c>
      <c r="F330" s="3" t="s">
        <v>20</v>
      </c>
      <c r="G330" s="3" t="s">
        <v>666</v>
      </c>
      <c r="H330" s="3">
        <v>2022.0</v>
      </c>
      <c r="I330" s="3" t="str">
        <f>IF(DB!$H330&gt;1000,LEFT(DB!$H330,2)+1,LEFT(DB!$H330,1)+1)</f>
        <v>21</v>
      </c>
      <c r="J330" s="3" t="s">
        <v>67</v>
      </c>
      <c r="K330" s="3" t="s">
        <v>23</v>
      </c>
      <c r="L330" s="3" t="s">
        <v>24</v>
      </c>
      <c r="M330" s="3"/>
      <c r="N330" s="3">
        <v>232.0</v>
      </c>
      <c r="O330" s="5">
        <v>45784.0</v>
      </c>
      <c r="P330" s="3">
        <v>5.0</v>
      </c>
    </row>
    <row r="331" ht="14.25" customHeight="1">
      <c r="A331" s="3"/>
      <c r="B331" s="4" t="s">
        <v>667</v>
      </c>
      <c r="C331" s="4" t="s">
        <v>95</v>
      </c>
      <c r="D331" s="4" t="s">
        <v>60</v>
      </c>
      <c r="E331" s="3" t="s">
        <v>19</v>
      </c>
      <c r="F331" s="3" t="s">
        <v>20</v>
      </c>
      <c r="G331" s="3" t="s">
        <v>668</v>
      </c>
      <c r="H331" s="3">
        <v>2023.0</v>
      </c>
      <c r="I331" s="3" t="str">
        <f>IF(DB!$H331&gt;1000,LEFT(DB!$H331,2)+1,LEFT(DB!$H331,1)+1)</f>
        <v>21</v>
      </c>
      <c r="J331" s="3" t="s">
        <v>67</v>
      </c>
      <c r="K331" s="3" t="s">
        <v>33</v>
      </c>
      <c r="L331" s="3" t="s">
        <v>24</v>
      </c>
      <c r="M331" s="3"/>
      <c r="N331" s="3">
        <v>224.0</v>
      </c>
      <c r="O331" s="5">
        <v>45795.0</v>
      </c>
      <c r="P331" s="3">
        <v>3.5</v>
      </c>
    </row>
    <row r="332" ht="14.25" customHeight="1">
      <c r="A332" s="3"/>
      <c r="B332" s="4" t="s">
        <v>669</v>
      </c>
      <c r="C332" s="4" t="s">
        <v>28</v>
      </c>
      <c r="D332" s="4" t="s">
        <v>18</v>
      </c>
      <c r="E332" s="3" t="s">
        <v>235</v>
      </c>
      <c r="F332" s="3" t="s">
        <v>42</v>
      </c>
      <c r="G332" s="3" t="s">
        <v>670</v>
      </c>
      <c r="H332" s="3">
        <v>2023.0</v>
      </c>
      <c r="I332" s="3" t="str">
        <f>IF(DB!$H332&gt;1000,LEFT(DB!$H332,2)+1,LEFT(DB!$H332,1)+1)</f>
        <v>21</v>
      </c>
      <c r="J332" s="3" t="s">
        <v>671</v>
      </c>
      <c r="K332" s="3" t="s">
        <v>33</v>
      </c>
      <c r="L332" s="3"/>
      <c r="M332" s="3" t="s">
        <v>18</v>
      </c>
      <c r="N332" s="3">
        <v>288.0</v>
      </c>
      <c r="O332" s="5">
        <v>45804.0</v>
      </c>
      <c r="P332" s="3">
        <v>5.0</v>
      </c>
    </row>
    <row r="333" ht="14.25" customHeight="1">
      <c r="A333" s="3"/>
      <c r="B333" s="4" t="s">
        <v>672</v>
      </c>
      <c r="C333" s="4" t="s">
        <v>28</v>
      </c>
      <c r="D333" s="4" t="s">
        <v>18</v>
      </c>
      <c r="E333" s="3" t="s">
        <v>36</v>
      </c>
      <c r="F333" s="3" t="s">
        <v>37</v>
      </c>
      <c r="G333" s="3" t="s">
        <v>556</v>
      </c>
      <c r="H333" s="3">
        <v>1962.0</v>
      </c>
      <c r="I333" s="3" t="str">
        <f>IF(DB!$H333&gt;1000,LEFT(DB!$H333,2)+1,LEFT(DB!$H333,1)+1)</f>
        <v>20</v>
      </c>
      <c r="J333" s="3" t="s">
        <v>67</v>
      </c>
      <c r="K333" s="3" t="s">
        <v>23</v>
      </c>
      <c r="L333" s="3" t="s">
        <v>34</v>
      </c>
      <c r="M333" s="3" t="s">
        <v>18</v>
      </c>
      <c r="N333" s="3">
        <v>568.0</v>
      </c>
      <c r="O333" s="5">
        <v>45860.0</v>
      </c>
      <c r="P333" s="3">
        <v>4.0</v>
      </c>
    </row>
    <row r="334" ht="14.25" customHeight="1">
      <c r="A334" s="3"/>
      <c r="B334" s="4" t="s">
        <v>673</v>
      </c>
      <c r="C334" s="4" t="s">
        <v>28</v>
      </c>
      <c r="D334" s="4" t="s">
        <v>18</v>
      </c>
      <c r="E334" s="3" t="s">
        <v>19</v>
      </c>
      <c r="F334" s="3" t="s">
        <v>20</v>
      </c>
      <c r="G334" s="3" t="s">
        <v>674</v>
      </c>
      <c r="H334" s="3">
        <v>2021.0</v>
      </c>
      <c r="I334" s="3" t="str">
        <f>IF(DB!$H334&gt;1000,LEFT(DB!$H334,2)+1,LEFT(DB!$H334,1)+1)</f>
        <v>21</v>
      </c>
      <c r="J334" s="3" t="s">
        <v>67</v>
      </c>
      <c r="K334" s="3" t="s">
        <v>23</v>
      </c>
      <c r="L334" s="3" t="s">
        <v>24</v>
      </c>
      <c r="M334" s="3" t="s">
        <v>18</v>
      </c>
      <c r="N334" s="3">
        <v>152.0</v>
      </c>
      <c r="O334" s="5">
        <v>45867.0</v>
      </c>
      <c r="P334" s="3">
        <v>4.0</v>
      </c>
    </row>
    <row r="335" ht="14.25" customHeight="1">
      <c r="A335" s="3"/>
      <c r="B335" s="4" t="s">
        <v>675</v>
      </c>
      <c r="C335" s="4" t="s">
        <v>404</v>
      </c>
      <c r="D335" s="4" t="s">
        <v>60</v>
      </c>
      <c r="E335" s="3" t="s">
        <v>19</v>
      </c>
      <c r="F335" s="3" t="s">
        <v>20</v>
      </c>
      <c r="G335" s="3" t="s">
        <v>676</v>
      </c>
      <c r="H335" s="3">
        <v>1987.0</v>
      </c>
      <c r="I335" s="3" t="str">
        <f>IF(DB!$H335&gt;1000,LEFT(DB!$H335,2)+1,LEFT(DB!$H335,1)+1)</f>
        <v>20</v>
      </c>
      <c r="J335" s="3" t="s">
        <v>67</v>
      </c>
      <c r="K335" s="3" t="s">
        <v>23</v>
      </c>
      <c r="L335" s="3" t="s">
        <v>24</v>
      </c>
      <c r="M335" s="3"/>
      <c r="N335" s="3">
        <v>96.0</v>
      </c>
      <c r="O335" s="5">
        <v>45870.0</v>
      </c>
      <c r="P335" s="3">
        <v>4.0</v>
      </c>
    </row>
    <row r="336" ht="14.25" customHeight="1">
      <c r="A336" s="3"/>
      <c r="B336" s="4" t="s">
        <v>677</v>
      </c>
      <c r="C336" s="4" t="s">
        <v>28</v>
      </c>
      <c r="D336" s="4" t="s">
        <v>18</v>
      </c>
      <c r="E336" s="3" t="s">
        <v>169</v>
      </c>
      <c r="F336" s="3" t="s">
        <v>37</v>
      </c>
      <c r="G336" s="3" t="s">
        <v>678</v>
      </c>
      <c r="H336" s="3">
        <v>2019.0</v>
      </c>
      <c r="I336" s="3" t="str">
        <f>IF(DB!$H336&gt;1000,LEFT(DB!$H336,2)+1,LEFT(DB!$H336,1)+1)</f>
        <v>21</v>
      </c>
      <c r="J336" s="3" t="s">
        <v>500</v>
      </c>
      <c r="K336" s="3" t="s">
        <v>79</v>
      </c>
      <c r="L336" s="3"/>
      <c r="M336" s="3" t="s">
        <v>18</v>
      </c>
      <c r="N336" s="3">
        <v>192.0</v>
      </c>
      <c r="O336" s="5">
        <v>45890.0</v>
      </c>
      <c r="P336" s="3">
        <v>3.5</v>
      </c>
    </row>
    <row r="337" ht="14.25" customHeight="1">
      <c r="A337" s="3"/>
      <c r="B337" s="4" t="s">
        <v>679</v>
      </c>
      <c r="C337" s="4" t="s">
        <v>533</v>
      </c>
      <c r="D337" s="4" t="s">
        <v>60</v>
      </c>
      <c r="E337" s="3" t="s">
        <v>19</v>
      </c>
      <c r="F337" s="3" t="s">
        <v>20</v>
      </c>
      <c r="G337" s="3" t="s">
        <v>583</v>
      </c>
      <c r="H337" s="3">
        <v>2020.0</v>
      </c>
      <c r="I337" s="3" t="str">
        <f>IF(DB!$H337&gt;1000,LEFT(DB!$H337,2)+1,LEFT(DB!$H337,1)+1)</f>
        <v>21</v>
      </c>
      <c r="J337" s="3" t="s">
        <v>67</v>
      </c>
      <c r="K337" s="3" t="s">
        <v>23</v>
      </c>
      <c r="L337" s="3" t="s">
        <v>584</v>
      </c>
      <c r="M337" s="3"/>
      <c r="N337" s="3">
        <v>128.0</v>
      </c>
      <c r="O337" s="5">
        <v>45891.0</v>
      </c>
      <c r="P337" s="3">
        <v>4.5</v>
      </c>
    </row>
    <row r="338" ht="14.25" customHeight="1">
      <c r="A338" s="3"/>
      <c r="B338" s="4" t="s">
        <v>680</v>
      </c>
      <c r="C338" s="4" t="s">
        <v>28</v>
      </c>
      <c r="D338" s="4" t="s">
        <v>18</v>
      </c>
      <c r="E338" s="3" t="s">
        <v>19</v>
      </c>
      <c r="F338" s="3" t="s">
        <v>20</v>
      </c>
      <c r="G338" s="3" t="s">
        <v>681</v>
      </c>
      <c r="H338" s="3">
        <v>2023.0</v>
      </c>
      <c r="I338" s="3" t="str">
        <f>IF(DB!$H338&gt;1000,LEFT(DB!$H338,2)+1,LEFT(DB!$H338,1)+1)</f>
        <v>21</v>
      </c>
      <c r="J338" s="3" t="s">
        <v>67</v>
      </c>
      <c r="K338" s="3" t="s">
        <v>33</v>
      </c>
      <c r="L338" s="3" t="s">
        <v>24</v>
      </c>
      <c r="M338" s="3"/>
      <c r="N338" s="3">
        <v>208.0</v>
      </c>
      <c r="O338" s="5">
        <v>45896.0</v>
      </c>
      <c r="P338" s="3">
        <v>4.0</v>
      </c>
    </row>
    <row r="339" ht="14.25" customHeight="1">
      <c r="A339" s="3"/>
      <c r="B339" s="4" t="s">
        <v>682</v>
      </c>
      <c r="C339" s="4" t="s">
        <v>93</v>
      </c>
      <c r="D339" s="4" t="s">
        <v>60</v>
      </c>
      <c r="E339" s="3" t="s">
        <v>47</v>
      </c>
      <c r="F339" s="3" t="s">
        <v>42</v>
      </c>
      <c r="G339" s="3" t="s">
        <v>658</v>
      </c>
      <c r="H339" s="3">
        <v>2024.0</v>
      </c>
      <c r="I339" s="3" t="str">
        <f>IF(DB!$H339&gt;1000,LEFT(DB!$H339,2)+1,LEFT(DB!$H339,1)+1)</f>
        <v>21</v>
      </c>
      <c r="J339" s="3" t="s">
        <v>374</v>
      </c>
      <c r="K339" s="3" t="s">
        <v>23</v>
      </c>
      <c r="L339" s="3" t="s">
        <v>24</v>
      </c>
      <c r="M339" s="3"/>
      <c r="N339" s="3">
        <v>240.0</v>
      </c>
      <c r="O339" s="5">
        <v>45925.0</v>
      </c>
      <c r="P339" s="3">
        <v>5.0</v>
      </c>
    </row>
    <row r="340" ht="14.25" customHeight="1">
      <c r="A340" s="3"/>
      <c r="B340" s="4" t="s">
        <v>683</v>
      </c>
      <c r="C340" s="4" t="s">
        <v>404</v>
      </c>
      <c r="D340" s="4" t="s">
        <v>60</v>
      </c>
      <c r="E340" s="3" t="s">
        <v>36</v>
      </c>
      <c r="F340" s="3" t="s">
        <v>37</v>
      </c>
      <c r="G340" s="3" t="s">
        <v>684</v>
      </c>
      <c r="H340" s="3">
        <v>1964.0</v>
      </c>
      <c r="I340" s="3" t="str">
        <f>IF(DB!$H340&gt;1000,LEFT(DB!$H340,2)+1,LEFT(DB!$H340,1)+1)</f>
        <v>20</v>
      </c>
      <c r="J340" s="3" t="s">
        <v>685</v>
      </c>
      <c r="K340" s="3" t="s">
        <v>23</v>
      </c>
      <c r="L340" s="3" t="s">
        <v>24</v>
      </c>
      <c r="M340" s="3"/>
      <c r="N340" s="3">
        <v>76.0</v>
      </c>
      <c r="O340" s="5">
        <v>45931.0</v>
      </c>
      <c r="P340" s="3">
        <v>3.0</v>
      </c>
    </row>
    <row r="341" ht="14.25" customHeight="1">
      <c r="A341" s="3"/>
      <c r="B341" s="4" t="s">
        <v>686</v>
      </c>
      <c r="C341" s="4" t="s">
        <v>687</v>
      </c>
      <c r="D341" s="4" t="s">
        <v>60</v>
      </c>
      <c r="E341" s="3" t="s">
        <v>140</v>
      </c>
      <c r="F341" s="3" t="s">
        <v>42</v>
      </c>
      <c r="G341" s="3" t="s">
        <v>688</v>
      </c>
      <c r="H341" s="3">
        <v>2023.0</v>
      </c>
      <c r="I341" s="3" t="str">
        <f>IF(DB!$H341&gt;1000,LEFT(DB!$H341,2)+1,LEFT(DB!$H341,1)+1)</f>
        <v>21</v>
      </c>
      <c r="J341" s="3" t="s">
        <v>689</v>
      </c>
      <c r="K341" s="3" t="s">
        <v>23</v>
      </c>
      <c r="L341" s="3" t="s">
        <v>24</v>
      </c>
      <c r="M341" s="3"/>
      <c r="N341" s="3">
        <v>240.0</v>
      </c>
      <c r="O341" s="5">
        <v>45938.0</v>
      </c>
      <c r="P341" s="3">
        <v>4.0</v>
      </c>
    </row>
    <row r="342" ht="14.25" customHeight="1">
      <c r="A342" s="3"/>
      <c r="B342" s="4" t="s">
        <v>690</v>
      </c>
      <c r="C342" s="4" t="s">
        <v>404</v>
      </c>
      <c r="D342" s="4" t="s">
        <v>60</v>
      </c>
      <c r="E342" s="3" t="s">
        <v>36</v>
      </c>
      <c r="F342" s="3" t="s">
        <v>37</v>
      </c>
      <c r="G342" s="3" t="s">
        <v>691</v>
      </c>
      <c r="H342" s="3">
        <v>1956.0</v>
      </c>
      <c r="I342" s="3" t="str">
        <f>IF(DB!$H342&gt;1000,LEFT(DB!$H342,2)+1,LEFT(DB!$H342,1)+1)</f>
        <v>20</v>
      </c>
      <c r="J342" s="3" t="s">
        <v>685</v>
      </c>
      <c r="K342" s="3" t="s">
        <v>23</v>
      </c>
      <c r="L342" s="3" t="s">
        <v>24</v>
      </c>
      <c r="M342" s="3"/>
      <c r="N342" s="3">
        <v>60.0</v>
      </c>
      <c r="O342" s="5">
        <v>45941.0</v>
      </c>
      <c r="P342" s="3">
        <v>4.5</v>
      </c>
    </row>
    <row r="343" ht="14.25" customHeight="1">
      <c r="A343" s="3"/>
      <c r="B343" s="4" t="s">
        <v>692</v>
      </c>
      <c r="C343" s="4" t="s">
        <v>28</v>
      </c>
      <c r="D343" s="4" t="s">
        <v>18</v>
      </c>
      <c r="E343" s="3" t="s">
        <v>55</v>
      </c>
      <c r="F343" s="3" t="s">
        <v>42</v>
      </c>
      <c r="G343" s="3" t="s">
        <v>507</v>
      </c>
      <c r="H343" s="3">
        <v>2014.0</v>
      </c>
      <c r="I343" s="3" t="str">
        <f>IF(DB!$H343&gt;1000,LEFT(DB!$H343,2)+1,LEFT(DB!$H343,1)+1)</f>
        <v>21</v>
      </c>
      <c r="J343" s="3" t="s">
        <v>207</v>
      </c>
      <c r="K343" s="3" t="s">
        <v>33</v>
      </c>
      <c r="L343" s="3" t="s">
        <v>79</v>
      </c>
      <c r="M343" s="3"/>
      <c r="N343" s="3">
        <v>480.0</v>
      </c>
      <c r="O343" s="5">
        <v>45948.0</v>
      </c>
      <c r="P343" s="3">
        <v>5.0</v>
      </c>
    </row>
    <row r="344" ht="14.25" customHeight="1">
      <c r="A344" s="3"/>
      <c r="B344" s="4" t="s">
        <v>693</v>
      </c>
      <c r="C344" s="4" t="s">
        <v>28</v>
      </c>
      <c r="D344" s="4" t="s">
        <v>18</v>
      </c>
      <c r="E344" s="3" t="s">
        <v>19</v>
      </c>
      <c r="F344" s="3" t="s">
        <v>20</v>
      </c>
      <c r="G344" s="3" t="s">
        <v>694</v>
      </c>
      <c r="H344" s="3">
        <v>2000.0</v>
      </c>
      <c r="I344" s="3" t="str">
        <f>IF(DB!$H344&gt;1000,LEFT(DB!$H344,2)+1,LEFT(DB!$H344,1)+1)</f>
        <v>21</v>
      </c>
      <c r="J344" s="3" t="s">
        <v>67</v>
      </c>
      <c r="K344" s="3" t="s">
        <v>23</v>
      </c>
      <c r="L344" s="3" t="s">
        <v>24</v>
      </c>
      <c r="M344" s="3"/>
      <c r="N344" s="3">
        <v>280.0</v>
      </c>
      <c r="O344" s="5">
        <v>45981.0</v>
      </c>
      <c r="P344" s="3">
        <v>3.5</v>
      </c>
    </row>
    <row r="345" ht="14.25" customHeight="1">
      <c r="A345" s="3"/>
      <c r="B345" s="4" t="s">
        <v>695</v>
      </c>
      <c r="C345" s="4" t="s">
        <v>533</v>
      </c>
      <c r="D345" s="4" t="s">
        <v>60</v>
      </c>
      <c r="E345" s="3" t="s">
        <v>19</v>
      </c>
      <c r="F345" s="3" t="s">
        <v>20</v>
      </c>
      <c r="G345" s="3" t="s">
        <v>583</v>
      </c>
      <c r="H345" s="3">
        <v>2022.0</v>
      </c>
      <c r="I345" s="3" t="str">
        <f>IF(DB!$H345&gt;1000,LEFT(DB!$H345,2)+1,LEFT(DB!$H345,1)+1)</f>
        <v>21</v>
      </c>
      <c r="J345" s="3" t="s">
        <v>67</v>
      </c>
      <c r="K345" s="3" t="s">
        <v>23</v>
      </c>
      <c r="L345" s="3" t="s">
        <v>584</v>
      </c>
      <c r="M345" s="3"/>
      <c r="N345" s="3">
        <v>128.0</v>
      </c>
      <c r="O345" s="5">
        <v>45984.0</v>
      </c>
      <c r="P345" s="3">
        <v>4.0</v>
      </c>
    </row>
    <row r="346" ht="14.25" customHeight="1">
      <c r="A346" s="3"/>
      <c r="B346" s="4" t="s">
        <v>696</v>
      </c>
      <c r="C346" s="4" t="s">
        <v>533</v>
      </c>
      <c r="D346" s="4" t="s">
        <v>60</v>
      </c>
      <c r="E346" s="3" t="s">
        <v>19</v>
      </c>
      <c r="F346" s="3" t="s">
        <v>20</v>
      </c>
      <c r="G346" s="3" t="s">
        <v>697</v>
      </c>
      <c r="H346" s="3">
        <v>2025.0</v>
      </c>
      <c r="I346" s="3" t="str">
        <f>IF(DB!$H346&gt;1000,LEFT(DB!$H346,2)+1,LEFT(DB!$H346,1)+1)</f>
        <v>21</v>
      </c>
      <c r="J346" s="3" t="s">
        <v>67</v>
      </c>
      <c r="K346" s="3" t="s">
        <v>23</v>
      </c>
      <c r="L346" s="3"/>
      <c r="M346" s="3"/>
      <c r="N346" s="3">
        <v>240.0</v>
      </c>
      <c r="O346" s="5">
        <v>45992.0</v>
      </c>
      <c r="P346" s="3">
        <v>4.0</v>
      </c>
    </row>
    <row r="347" ht="14.25" customHeight="1">
      <c r="A347" s="3"/>
      <c r="B347" s="4" t="s">
        <v>698</v>
      </c>
      <c r="C347" s="4" t="s">
        <v>465</v>
      </c>
      <c r="D347" s="4" t="s">
        <v>60</v>
      </c>
      <c r="E347" s="3" t="s">
        <v>47</v>
      </c>
      <c r="F347" s="3" t="s">
        <v>42</v>
      </c>
      <c r="G347" s="3" t="s">
        <v>658</v>
      </c>
      <c r="H347" s="3">
        <v>2023.0</v>
      </c>
      <c r="I347" s="3" t="str">
        <f>IF(DB!$H347&gt;1000,LEFT(DB!$H347,2)+1,LEFT(DB!$H347,1)+1)</f>
        <v>21</v>
      </c>
      <c r="J347" s="3" t="s">
        <v>374</v>
      </c>
      <c r="K347" s="3" t="s">
        <v>23</v>
      </c>
      <c r="L347" s="3" t="s">
        <v>24</v>
      </c>
      <c r="M347" s="3" t="s">
        <v>18</v>
      </c>
      <c r="N347" s="3">
        <v>112.0</v>
      </c>
      <c r="O347" s="5">
        <v>45995.0</v>
      </c>
      <c r="P347" s="3">
        <v>3.5</v>
      </c>
    </row>
    <row r="348" ht="14.25" customHeight="1">
      <c r="A348" s="3"/>
      <c r="B348" s="4" t="s">
        <v>699</v>
      </c>
      <c r="C348" s="4" t="s">
        <v>465</v>
      </c>
      <c r="D348" s="4" t="s">
        <v>60</v>
      </c>
      <c r="E348" s="3" t="s">
        <v>47</v>
      </c>
      <c r="F348" s="3" t="s">
        <v>42</v>
      </c>
      <c r="G348" s="3" t="s">
        <v>658</v>
      </c>
      <c r="H348" s="3">
        <v>2024.0</v>
      </c>
      <c r="I348" s="3" t="str">
        <f>IF(DB!$H348&gt;1000,LEFT(DB!$H348,2)+1,LEFT(DB!$H348,1)+1)</f>
        <v>21</v>
      </c>
      <c r="J348" s="3" t="s">
        <v>374</v>
      </c>
      <c r="K348" s="3" t="s">
        <v>23</v>
      </c>
      <c r="L348" s="3" t="s">
        <v>24</v>
      </c>
      <c r="M348" s="3" t="s">
        <v>18</v>
      </c>
      <c r="N348" s="3">
        <v>96.0</v>
      </c>
      <c r="O348" s="5">
        <v>46000.0</v>
      </c>
      <c r="P348" s="3">
        <v>4.5</v>
      </c>
    </row>
    <row r="349" ht="14.25" customHeight="1">
      <c r="A349" s="3"/>
      <c r="B349" s="4" t="s">
        <v>700</v>
      </c>
      <c r="C349" s="4" t="s">
        <v>102</v>
      </c>
      <c r="D349" s="4" t="s">
        <v>60</v>
      </c>
      <c r="E349" s="3" t="s">
        <v>47</v>
      </c>
      <c r="F349" s="3" t="s">
        <v>42</v>
      </c>
      <c r="G349" s="3" t="s">
        <v>586</v>
      </c>
      <c r="H349" s="3">
        <v>2024.0</v>
      </c>
      <c r="I349" s="3" t="str">
        <f>IF(DB!$H349&gt;1000,LEFT(DB!$H349,2)+1,LEFT(DB!$H349,1)+1)</f>
        <v>21</v>
      </c>
      <c r="J349" s="3" t="s">
        <v>391</v>
      </c>
      <c r="K349" s="3" t="s">
        <v>23</v>
      </c>
      <c r="L349" s="3" t="s">
        <v>24</v>
      </c>
      <c r="M349" s="3"/>
      <c r="N349" s="3">
        <v>224.0</v>
      </c>
      <c r="O349" s="5">
        <v>46010.0</v>
      </c>
      <c r="P349" s="3">
        <v>4.0</v>
      </c>
    </row>
    <row r="350" ht="14.25" customHeight="1">
      <c r="A350" s="3"/>
      <c r="B350" s="4" t="s">
        <v>701</v>
      </c>
      <c r="C350" s="4" t="s">
        <v>626</v>
      </c>
      <c r="D350" s="4" t="s">
        <v>18</v>
      </c>
      <c r="E350" s="3" t="s">
        <v>383</v>
      </c>
      <c r="F350" s="3" t="s">
        <v>177</v>
      </c>
      <c r="G350" s="3" t="s">
        <v>702</v>
      </c>
      <c r="H350" s="3">
        <v>2025.0</v>
      </c>
      <c r="I350" s="3" t="str">
        <f>IF(DB!$H350&gt;1000,LEFT(DB!$H350,2)+1,LEFT(DB!$H350,1)+1)</f>
        <v>21</v>
      </c>
      <c r="J350" s="3" t="s">
        <v>184</v>
      </c>
      <c r="K350" s="3" t="s">
        <v>23</v>
      </c>
      <c r="L350" s="3"/>
      <c r="M350" s="3"/>
      <c r="N350" s="3">
        <v>176.0</v>
      </c>
      <c r="O350" s="5">
        <v>46012.0</v>
      </c>
      <c r="P350" s="3">
        <v>3.5</v>
      </c>
    </row>
  </sheetData>
  <printOptions/>
  <pageMargins bottom="0.75" footer="0.0" header="0.0" left="0.7" right="0.7" top="0.75"/>
  <pageSetup paperSize="9" orientation="portrait"/>
  <headerFooter>
    <oddFooter>&amp;L_x000D_#008542 INTERNA</oddFooter>
  </headerFooter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DB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2021-08-13T20:00:12Z</dcterms:created>
  <dc:creator>LUCAS DE OLIVEIRA CUNHA</dc:creator>
  <cp:lastModifiedBy>Lucas de Oliveira Cunha</cp:lastModifiedBy>
  <dcterms:modified xsi:type="dcterms:W3CDTF">2025-12-30T18:29:57Z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0459ad-4eb7-43ee-b2e0-a4f39d08f16c_Enabled">
    <vt:lpwstr>true</vt:lpwstr>
  </property>
  <property fmtid="{D5CDD505-2E9C-101B-9397-08002B2CF9AE}" pid="3" name="MSIP_Label_ad0459ad-4eb7-43ee-b2e0-a4f39d08f16c_SetDate">
    <vt:lpwstr>2022-08-23T12:36:35Z</vt:lpwstr>
  </property>
  <property fmtid="{D5CDD505-2E9C-101B-9397-08002B2CF9AE}" pid="4" name="MSIP_Label_ad0459ad-4eb7-43ee-b2e0-a4f39d08f16c_Method">
    <vt:lpwstr>Standard</vt:lpwstr>
  </property>
  <property fmtid="{D5CDD505-2E9C-101B-9397-08002B2CF9AE}" pid="5" name="MSIP_Label_ad0459ad-4eb7-43ee-b2e0-a4f39d08f16c_Name">
    <vt:lpwstr>Private</vt:lpwstr>
  </property>
  <property fmtid="{D5CDD505-2E9C-101B-9397-08002B2CF9AE}" pid="6" name="MSIP_Label_ad0459ad-4eb7-43ee-b2e0-a4f39d08f16c_SiteId">
    <vt:lpwstr>1b5ba8a2-315d-45ce-959a-42b748c01de7</vt:lpwstr>
  </property>
  <property fmtid="{D5CDD505-2E9C-101B-9397-08002B2CF9AE}" pid="7" name="MSIP_Label_ad0459ad-4eb7-43ee-b2e0-a4f39d08f16c_ActionId">
    <vt:lpwstr>e47ecb9b-75ed-48eb-8942-f20eaf353516</vt:lpwstr>
  </property>
  <property fmtid="{D5CDD505-2E9C-101B-9397-08002B2CF9AE}" pid="8" name="MSIP_Label_ad0459ad-4eb7-43ee-b2e0-a4f39d08f16c_ContentBits">
    <vt:lpwstr>0</vt:lpwstr>
  </property>
  <property fmtid="{D5CDD505-2E9C-101B-9397-08002B2CF9AE}" pid="9" name="MSIP_Label_d5eb2d05-47c5-4b3e-9bd7-b47e03a10069_Enabled">
    <vt:lpwstr>true</vt:lpwstr>
  </property>
  <property fmtid="{D5CDD505-2E9C-101B-9397-08002B2CF9AE}" pid="10" name="MSIP_Label_d5eb2d05-47c5-4b3e-9bd7-b47e03a10069_SetDate">
    <vt:lpwstr>2023-12-06T11:24:59Z</vt:lpwstr>
  </property>
  <property fmtid="{D5CDD505-2E9C-101B-9397-08002B2CF9AE}" pid="11" name="MSIP_Label_d5eb2d05-47c5-4b3e-9bd7-b47e03a10069_Method">
    <vt:lpwstr>Privileged</vt:lpwstr>
  </property>
  <property fmtid="{D5CDD505-2E9C-101B-9397-08002B2CF9AE}" pid="12" name="MSIP_Label_d5eb2d05-47c5-4b3e-9bd7-b47e03a10069_Name">
    <vt:lpwstr>PETROBRAS Colaboradores</vt:lpwstr>
  </property>
  <property fmtid="{D5CDD505-2E9C-101B-9397-08002B2CF9AE}" pid="13" name="MSIP_Label_d5eb2d05-47c5-4b3e-9bd7-b47e03a10069_SiteId">
    <vt:lpwstr>5b6f6241-9a57-4be4-8e50-1dfa72e79a57</vt:lpwstr>
  </property>
  <property fmtid="{D5CDD505-2E9C-101B-9397-08002B2CF9AE}" pid="14" name="MSIP_Label_d5eb2d05-47c5-4b3e-9bd7-b47e03a10069_ActionId">
    <vt:lpwstr>453decaa-165d-4977-92ee-52a0160f5fb6</vt:lpwstr>
  </property>
  <property fmtid="{D5CDD505-2E9C-101B-9397-08002B2CF9AE}" pid="15" name="MSIP_Label_d5eb2d05-47c5-4b3e-9bd7-b47e03a10069_ContentBits">
    <vt:lpwstr>2</vt:lpwstr>
  </property>
</Properties>
</file>
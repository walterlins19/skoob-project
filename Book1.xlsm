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Overview" sheetId="1" r:id="rId5"/>
    <sheet state="visible" name="DB" sheetId="2" r:id="rId6"/>
    <sheet state="visible" name="Plot Paises" sheetId="3" r:id="rId7"/>
  </sheets>
  <definedNames/>
  <calcPr/>
  <extLst>
    <ext uri="GoogleSheetsCustomDataVersion2">
      <go:sheetsCustomData xmlns:go="http://customooxmlschemas.google.com/" r:id="rId8" roundtripDataChecksum="4nnCem49htFIaBathTiDDjpSXZym2OK2Cc62uDG3SMA="/>
    </ext>
  </extLst>
</workbook>
</file>

<file path=xl/sharedStrings.xml><?xml version="1.0" encoding="utf-8"?>
<sst xmlns="http://schemas.openxmlformats.org/spreadsheetml/2006/main" count="441" uniqueCount="170">
  <si>
    <t>Total</t>
  </si>
  <si>
    <t>Autoras</t>
  </si>
  <si>
    <t>Negros</t>
  </si>
  <si>
    <t>Ficção</t>
  </si>
  <si>
    <t>Não Ficção</t>
  </si>
  <si>
    <t>Mais antigo</t>
  </si>
  <si>
    <t>Mais novo</t>
  </si>
  <si>
    <t>Países</t>
  </si>
  <si>
    <t>País mais lido</t>
  </si>
  <si>
    <t>Nacionais</t>
  </si>
  <si>
    <t>Notas 5</t>
  </si>
  <si>
    <t>Total de Páginas</t>
  </si>
  <si>
    <t>Média de páginas</t>
  </si>
  <si>
    <t>Mais páginas</t>
  </si>
  <si>
    <t>Menos Páginas</t>
  </si>
  <si>
    <t>Séc mais lido</t>
  </si>
  <si>
    <t>Autor mais lido</t>
  </si>
  <si>
    <t>Região mais lida</t>
  </si>
  <si>
    <t>ID</t>
  </si>
  <si>
    <t>Título</t>
  </si>
  <si>
    <t>Gênero</t>
  </si>
  <si>
    <t>País</t>
  </si>
  <si>
    <t>Região</t>
  </si>
  <si>
    <t>Autor</t>
  </si>
  <si>
    <t>Editora</t>
  </si>
  <si>
    <t>Ano de Publicação</t>
  </si>
  <si>
    <t>Séc</t>
  </si>
  <si>
    <t>Sexo Autor</t>
  </si>
  <si>
    <t>Etnia</t>
  </si>
  <si>
    <t>Páginas</t>
  </si>
  <si>
    <t>Conclusão</t>
  </si>
  <si>
    <t>Nota</t>
  </si>
  <si>
    <t>Kafka à Beira-mar</t>
  </si>
  <si>
    <t>Romance</t>
  </si>
  <si>
    <t>Sim</t>
  </si>
  <si>
    <t>Japão</t>
  </si>
  <si>
    <t>Ásia</t>
  </si>
  <si>
    <t>Haruki Murakami</t>
  </si>
  <si>
    <t>Alfaguara</t>
  </si>
  <si>
    <t>M</t>
  </si>
  <si>
    <t>Branca</t>
  </si>
  <si>
    <t>Correntes</t>
  </si>
  <si>
    <t>Contos</t>
  </si>
  <si>
    <t>Polônia</t>
  </si>
  <si>
    <t>Europa</t>
  </si>
  <si>
    <t>Olga Tokarczuk</t>
  </si>
  <si>
    <t>Todavia</t>
  </si>
  <si>
    <t>F</t>
  </si>
  <si>
    <t>Pais e Filhos</t>
  </si>
  <si>
    <t>Rússia</t>
  </si>
  <si>
    <t>Ivan Turguêniev</t>
  </si>
  <si>
    <t>Companhia das Letras</t>
  </si>
  <si>
    <t>Fogo e Sangue</t>
  </si>
  <si>
    <t>Fantasia</t>
  </si>
  <si>
    <t>Estados Unidos</t>
  </si>
  <si>
    <t>América do Norte</t>
  </si>
  <si>
    <t>George R. R. Martin</t>
  </si>
  <si>
    <t>Suma</t>
  </si>
  <si>
    <t>Violeta</t>
  </si>
  <si>
    <t>Chile</t>
  </si>
  <si>
    <t>América Latina</t>
  </si>
  <si>
    <t>Isabel Allende</t>
  </si>
  <si>
    <t>Bertrand Brasil</t>
  </si>
  <si>
    <t>Ficção 2006-2014</t>
  </si>
  <si>
    <t>Contos/Romance</t>
  </si>
  <si>
    <t>Alejandro Zambra</t>
  </si>
  <si>
    <t>Sobre a Terra Somos Belos por Um Instante</t>
  </si>
  <si>
    <t>Ocean Vuong</t>
  </si>
  <si>
    <t>Rocco</t>
  </si>
  <si>
    <t>A Amiga Genial</t>
  </si>
  <si>
    <t>Itália</t>
  </si>
  <si>
    <t>Elena Ferrante</t>
  </si>
  <si>
    <t>Biblioteca Azul</t>
  </si>
  <si>
    <t>?</t>
  </si>
  <si>
    <t>Homens Imprudentemente Poéticos</t>
  </si>
  <si>
    <t>Portugal</t>
  </si>
  <si>
    <t>Valter Hugo Mãe</t>
  </si>
  <si>
    <t>Macunaíma</t>
  </si>
  <si>
    <t>Brasil</t>
  </si>
  <si>
    <t>Mário de Andrade</t>
  </si>
  <si>
    <t>Antofágica</t>
  </si>
  <si>
    <t>Mensagem</t>
  </si>
  <si>
    <t>Poesia</t>
  </si>
  <si>
    <t>Fernando Pessoa</t>
  </si>
  <si>
    <t>Clube de Literatura Clássica</t>
  </si>
  <si>
    <t>Os Supridores</t>
  </si>
  <si>
    <t>José Falero</t>
  </si>
  <si>
    <t>Livro do Desassossego</t>
  </si>
  <si>
    <t>SIm</t>
  </si>
  <si>
    <t>A Cachorra</t>
  </si>
  <si>
    <t>Novela</t>
  </si>
  <si>
    <t>Colômbia</t>
  </si>
  <si>
    <t>Pilar Quintana</t>
  </si>
  <si>
    <t>Intrínseca</t>
  </si>
  <si>
    <t>Tudo é Rio</t>
  </si>
  <si>
    <t>Carla Madeira</t>
  </si>
  <si>
    <t>Record</t>
  </si>
  <si>
    <t>Conversas Entre Amigos</t>
  </si>
  <si>
    <t>Irlanda</t>
  </si>
  <si>
    <t>Sally rooney</t>
  </si>
  <si>
    <t>As Doenças do Brasil</t>
  </si>
  <si>
    <t>Não Podes Caber em Palavra Alguma</t>
  </si>
  <si>
    <t>Não</t>
  </si>
  <si>
    <t>*</t>
  </si>
  <si>
    <t>Léxico Familiar</t>
  </si>
  <si>
    <t>Autobiografia</t>
  </si>
  <si>
    <t>Natália Ginzburg</t>
  </si>
  <si>
    <t>Eu, Tituba</t>
  </si>
  <si>
    <t>Guadalupe</t>
  </si>
  <si>
    <t>Maryse Condé</t>
  </si>
  <si>
    <t>Rosa dos Tempos</t>
  </si>
  <si>
    <t>Negra</t>
  </si>
  <si>
    <t>O Povo Brasileiro</t>
  </si>
  <si>
    <t>Sociologia</t>
  </si>
  <si>
    <t>Darcy Ribeiro</t>
  </si>
  <si>
    <t>Global</t>
  </si>
  <si>
    <t>Arlindo</t>
  </si>
  <si>
    <t>HQ</t>
  </si>
  <si>
    <t>Ilustralu</t>
  </si>
  <si>
    <t>Seguinte</t>
  </si>
  <si>
    <t>Poeta Chileno</t>
  </si>
  <si>
    <t>O Jogo da Amarelinha</t>
  </si>
  <si>
    <t>Argentina</t>
  </si>
  <si>
    <t>Julio Cortázar</t>
  </si>
  <si>
    <t>Iluminações/Um Tempo no Inferno</t>
  </si>
  <si>
    <t>França</t>
  </si>
  <si>
    <t>Arthur Rimbaud</t>
  </si>
  <si>
    <t>Veinte Poemas de Amor y Uma Canción Desesperada</t>
  </si>
  <si>
    <t>Pablo Neruda</t>
  </si>
  <si>
    <t>Seix Barral</t>
  </si>
  <si>
    <t>Luxúria</t>
  </si>
  <si>
    <t>Raven Leilani</t>
  </si>
  <si>
    <t>Os Filhos da Palestina</t>
  </si>
  <si>
    <t>Palestina</t>
  </si>
  <si>
    <t>Oriente Médio</t>
  </si>
  <si>
    <t>Ghassan Kanafani</t>
  </si>
  <si>
    <t>Lavra Palavra</t>
  </si>
  <si>
    <t>Antologia Poética</t>
  </si>
  <si>
    <t>Carlos Drummond de Andrade</t>
  </si>
  <si>
    <t>O Quarto de Giovanni</t>
  </si>
  <si>
    <t>James Baldwin</t>
  </si>
  <si>
    <t>Moby Dick</t>
  </si>
  <si>
    <t>Herman Melville</t>
  </si>
  <si>
    <t>Trinta Segundos Sem Pensar no Medo</t>
  </si>
  <si>
    <t>Pedro Pacífico</t>
  </si>
  <si>
    <t>Quando Deixamos de Entender o Mundo</t>
  </si>
  <si>
    <t>Biografia Romanceada</t>
  </si>
  <si>
    <t>Holanda</t>
  </si>
  <si>
    <t>Benjamin Labatut</t>
  </si>
  <si>
    <t>Meu Ano de Descanso e Relaxamento</t>
  </si>
  <si>
    <t>Ottessa Moshfegh</t>
  </si>
  <si>
    <t>A Vida Pela Frente</t>
  </si>
  <si>
    <t>Romain Gary</t>
  </si>
  <si>
    <t>O Lugar</t>
  </si>
  <si>
    <t>Annie Ernaux</t>
  </si>
  <si>
    <t>Fósforo</t>
  </si>
  <si>
    <t>Brancura</t>
  </si>
  <si>
    <t>Noruega</t>
  </si>
  <si>
    <t>Jon Fosse</t>
  </si>
  <si>
    <t>Ciranda de Pedra</t>
  </si>
  <si>
    <t>Lygia Fagundes Telles</t>
  </si>
  <si>
    <t>Uruguai</t>
  </si>
  <si>
    <t>Alemanha</t>
  </si>
  <si>
    <t>Haiti</t>
  </si>
  <si>
    <t>México</t>
  </si>
  <si>
    <t>Espanha</t>
  </si>
  <si>
    <t>Síria</t>
  </si>
  <si>
    <t>Cuba</t>
  </si>
  <si>
    <t>Peru</t>
  </si>
  <si>
    <t>Reino Unido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</si>
</sst>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5">
    <font>
      <sz val="11.0"/>
      <color theme="1"/>
      <name val="Calibri"/>
      <scheme val="minor"/>
    </font>
    <font>
      <sz val="11.0"/>
      <color theme="1"/>
      <name val="Calibri"/>
    </font>
    <font>
      <sz val="11.0"/>
      <color rgb="FFFFFFFF"/>
      <name val="Calibri"/>
    </font>
    <font>
      <color rgb="FFFFFFFF"/>
      <name val="Calibri"/>
      <scheme val="minor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</borders>
  <cellStyleXfs count="1">
    <xf borderId="0" fillId="0" fontId="0" numFmtId="0" applyAlignment="1" applyFont="1"/>
  </cellStyleXfs>
  <cellXfs count="1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right"/>
    </xf>
    <xf borderId="1" fillId="0" fontId="1" numFmtId="0" xfId="0" applyBorder="1" applyFont="1"/>
    <xf borderId="1" fillId="0" fontId="1" numFmtId="0" xfId="0" applyAlignment="1" applyBorder="1" applyFont="1">
      <alignment horizontal="right"/>
    </xf>
    <xf borderId="2" fillId="0" fontId="1" numFmtId="0" xfId="0" applyBorder="1" applyFont="1"/>
    <xf borderId="0" fillId="0" fontId="1" numFmtId="17" xfId="0" applyAlignment="1" applyFont="1" applyNumberFormat="1">
      <alignment horizontal="right"/>
    </xf>
    <xf borderId="0" fillId="0" fontId="2" numFmtId="0" xfId="0" applyAlignment="1" applyFont="1">
      <alignment horizontal="center"/>
    </xf>
    <xf borderId="0" fillId="0" fontId="2" numFmtId="0" xfId="0" applyAlignment="1" applyFont="1">
      <alignment horizontal="center" shrinkToFit="0" wrapText="1"/>
    </xf>
    <xf borderId="0" fillId="0" fontId="2" numFmtId="164" xfId="0" applyAlignment="1" applyFont="1" applyNumberFormat="1">
      <alignment horizontal="center"/>
    </xf>
    <xf borderId="0" fillId="0" fontId="3" numFmtId="0" xfId="0" applyFont="1"/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164" xfId="0" applyAlignment="1" applyFont="1" applyNumberFormat="1">
      <alignment horizontal="center" vertical="center"/>
    </xf>
    <xf borderId="0" fillId="0" fontId="1" numFmtId="0" xfId="0" applyAlignment="1" applyFont="1">
      <alignment shrinkToFit="0" wrapText="1"/>
    </xf>
    <xf borderId="0" fillId="0" fontId="4" numFmtId="164" xfId="0" applyFont="1" applyNumberFormat="1"/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vertical="center"/>
    </xf>
    <xf borderId="0" fillId="0" fontId="4" numFmtId="0" xfId="0" applyFon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1"/>
          <bgColor theme="1"/>
        </patternFill>
      </fill>
      <border/>
    </dxf>
    <dxf>
      <font/>
      <fill>
        <patternFill patternType="solid">
          <fgColor rgb="FFD8D8D8"/>
          <bgColor rgb="FFD8D8D8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">
    <tableStyle count="3" pivot="0" name="DB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Livros por País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'Plot Paises'!$B$1</c:f>
            </c:strRef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'Plot Paises'!$A$2:$A$17</c:f>
            </c:strRef>
          </c:cat>
          <c:val>
            <c:numRef>
              <c:f>'Plot Paises'!$B$2:$B$17</c:f>
              <c:numCache/>
            </c:numRef>
          </c:val>
        </c:ser>
        <c:axId val="401502980"/>
        <c:axId val="1976868641"/>
      </c:barChart>
      <c:catAx>
        <c:axId val="4015029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976868641"/>
      </c:catAx>
      <c:valAx>
        <c:axId val="197686864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401502980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Livros por Região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Região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0" i="0" sz="900"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'Plot Paises'!$D$2:$D$7</c:f>
            </c:strRef>
          </c:cat>
          <c:val>
            <c:numRef>
              <c:f>'Plot Paises'!$E$2:$E$7</c:f>
              <c:numCache/>
            </c:numRef>
          </c:val>
        </c:ser>
        <c:axId val="1380163529"/>
        <c:axId val="2053398520"/>
      </c:barChart>
      <c:catAx>
        <c:axId val="13801635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53398520"/>
      </c:catAx>
      <c:valAx>
        <c:axId val="2053398520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380163529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5</xdr:col>
      <xdr:colOff>0</xdr:colOff>
      <xdr:row>0</xdr:row>
      <xdr:rowOff>0</xdr:rowOff>
    </xdr:from>
    <xdr:ext cx="7019925" cy="4162425"/>
    <xdr:graphicFrame>
      <xdr:nvGraphicFramePr>
        <xdr:cNvPr id="21761062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5</xdr:col>
      <xdr:colOff>9525</xdr:colOff>
      <xdr:row>23</xdr:row>
      <xdr:rowOff>47625</xdr:rowOff>
    </xdr:from>
    <xdr:ext cx="7000875" cy="2743200"/>
    <xdr:graphicFrame>
      <xdr:nvGraphicFramePr>
        <xdr:cNvPr id="378238950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O39" displayName="Table_1" id="1">
  <tableColumns count="15">
    <tableColumn name="ID" id="1"/>
    <tableColumn name="Título" id="2"/>
    <tableColumn name="Gênero" id="3"/>
    <tableColumn name="Ficção" id="4"/>
    <tableColumn name="País" id="5"/>
    <tableColumn name="Região" id="6"/>
    <tableColumn name="Autor" id="7"/>
    <tableColumn name="Editora" id="8"/>
    <tableColumn name="Ano de Publicação" id="9"/>
    <tableColumn name="Séc" id="10"/>
    <tableColumn name="Sexo Autor" id="11"/>
    <tableColumn name="Etnia" id="12"/>
    <tableColumn name="Páginas" id="13"/>
    <tableColumn name="Conclusão" id="14"/>
    <tableColumn name="Nota" id="15"/>
  </tableColumns>
  <tableStyleInfo name="DB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3.57"/>
    <col customWidth="1" min="2" max="2" width="16.14"/>
    <col customWidth="1" min="3" max="3" width="25.57"/>
    <col customWidth="1" min="4" max="4" width="25.71"/>
    <col customWidth="1" min="5" max="26" width="8.71"/>
  </cols>
  <sheetData>
    <row r="1" ht="14.25" customHeight="1">
      <c r="C1" s="1"/>
      <c r="D1" s="1"/>
    </row>
    <row r="2" ht="14.25" customHeight="1">
      <c r="B2" s="2" t="s">
        <v>0</v>
      </c>
      <c r="C2" s="3">
        <f>COUNT(DB!$A$2:$A$39)</f>
        <v>38</v>
      </c>
      <c r="D2" s="3"/>
    </row>
    <row r="3" ht="14.25" customHeight="1">
      <c r="B3" s="2" t="s">
        <v>1</v>
      </c>
      <c r="C3" s="3">
        <f>COUNTIF(DB!$K$2:$K$39,"F")</f>
        <v>13</v>
      </c>
      <c r="D3" s="3"/>
    </row>
    <row r="4" ht="14.25" customHeight="1">
      <c r="B4" s="2" t="s">
        <v>2</v>
      </c>
      <c r="C4" s="3">
        <f>COUNTIF(DB!$L$2:$L$39,"Negro")+COUNTIF(DB!$L$2:$L$39,"Negra")</f>
        <v>3</v>
      </c>
      <c r="D4" s="3"/>
    </row>
    <row r="5" ht="14.25" customHeight="1">
      <c r="B5" s="2" t="s">
        <v>3</v>
      </c>
      <c r="C5" s="3">
        <f>COUNTIF(DB!$D$2:$D$39,"Sim")</f>
        <v>33</v>
      </c>
      <c r="D5" s="3"/>
    </row>
    <row r="6" ht="14.25" customHeight="1">
      <c r="B6" s="2" t="s">
        <v>4</v>
      </c>
      <c r="C6" s="3">
        <f>COUNTIF(DB!$D$2:$D$39,"Não")</f>
        <v>5</v>
      </c>
      <c r="D6" s="3"/>
    </row>
    <row r="7" ht="14.25" customHeight="1">
      <c r="B7" s="2" t="s">
        <v>5</v>
      </c>
      <c r="C7" s="3">
        <f>MIN(DB!$I$2:$I$39)</f>
        <v>1851</v>
      </c>
      <c r="D7" s="3" t="str">
        <f t="array" ref="D7">INDEX(DB!$A$1:$O$39,MATCH(MIN(DB!$I$2:$I$39),DB!$I$2:$I$39,0)+1,2)</f>
        <v>Moby Dick</v>
      </c>
    </row>
    <row r="8" ht="14.25" customHeight="1">
      <c r="B8" s="2" t="s">
        <v>6</v>
      </c>
      <c r="C8" s="3">
        <f>MAX(DB!$I$2:$I$39)</f>
        <v>2023</v>
      </c>
      <c r="D8" s="3" t="str">
        <f t="array" ref="D8">INDEX(DB!$A$1:$O$39,MATCH(MAX(DB!$I$2:$I$39),DB!$I$2:$I$39,0)+1,2)</f>
        <v>Trinta Segundos Sem Pensar no Medo</v>
      </c>
    </row>
    <row r="9" ht="14.25" customHeight="1">
      <c r="B9" s="2" t="s">
        <v>7</v>
      </c>
      <c r="C9" s="3">
        <f t="array" ref="C9">SUMPRODUCT(1/COUNTIF(DB!$E$2:$E$39,DB!$E$2:$E$39))</f>
        <v>16</v>
      </c>
      <c r="D9" s="3"/>
    </row>
    <row r="10" ht="14.25" customHeight="1">
      <c r="B10" s="2" t="s">
        <v>8</v>
      </c>
      <c r="C10" s="3" t="str">
        <f t="array" ref="C10">INDEX(DB!$E$2:$E$39,_xlfn.MODE.SNGL(MATCH(DB!$E$2:$E$39,DB!$E$2:$E$39,0)))</f>
        <v>Brasil</v>
      </c>
      <c r="D10" s="3">
        <f>COUNTIF(DB!$E$2:$E$39,Overview!C10)</f>
        <v>9</v>
      </c>
    </row>
    <row r="11" ht="14.25" customHeight="1">
      <c r="B11" s="2" t="s">
        <v>9</v>
      </c>
      <c r="C11" s="3">
        <f>COUNTIF(DB!$E$2:$E$39,"Brasil")</f>
        <v>9</v>
      </c>
      <c r="D11" s="3"/>
    </row>
    <row r="12" ht="14.25" customHeight="1">
      <c r="B12" s="2" t="s">
        <v>10</v>
      </c>
      <c r="C12" s="3">
        <f>COUNTIF(DB!$O$2:$O$39,5)</f>
        <v>5</v>
      </c>
      <c r="D12" s="3"/>
    </row>
    <row r="13" ht="14.25" customHeight="1">
      <c r="B13" s="2" t="s">
        <v>11</v>
      </c>
      <c r="C13" s="3">
        <f>SUM(DB!$M$2:$M$39)</f>
        <v>11304</v>
      </c>
      <c r="D13" s="3"/>
    </row>
    <row r="14" ht="14.25" customHeight="1">
      <c r="B14" s="4" t="s">
        <v>12</v>
      </c>
      <c r="C14" s="3">
        <f>ROUND(C13/C2,0)</f>
        <v>297</v>
      </c>
      <c r="D14" s="3"/>
    </row>
    <row r="15" ht="14.25" customHeight="1">
      <c r="B15" s="2" t="s">
        <v>13</v>
      </c>
      <c r="C15" s="3">
        <f>MAX(DB!$M$2:$M$39)</f>
        <v>752</v>
      </c>
      <c r="D15" s="3" t="str">
        <f t="array" ref="D15">INDEX(DB!$A$1:$O$39,MATCH(MAX(DB!$M$2:$M$39),DB!$M$2:$M$39,0)+1,2)</f>
        <v>Moby Dick</v>
      </c>
    </row>
    <row r="16" ht="14.25" customHeight="1">
      <c r="B16" s="2" t="s">
        <v>14</v>
      </c>
      <c r="C16" s="3">
        <f>MIN(DB!$M$2:$M$39)</f>
        <v>56</v>
      </c>
      <c r="D16" s="3" t="str">
        <f t="array" ref="D16">INDEX(DB!$A$1:$O$39,MATCH(MIN(DB!$M$2:$M$39),DB!$M$2:$M$39,0)+1,2)</f>
        <v>Veinte Poemas de Amor y Uma Canción Desesperada</v>
      </c>
    </row>
    <row r="17" ht="14.25" customHeight="1">
      <c r="B17" s="2" t="s">
        <v>15</v>
      </c>
      <c r="C17" s="3">
        <f>_xlfn.MODE.SNGL(DB!$J$2:$J$39)</f>
        <v>21</v>
      </c>
      <c r="D17" s="3">
        <f>COUNTIF(DB!$J$2:$J$39,Overview!C17)</f>
        <v>21</v>
      </c>
    </row>
    <row r="18" ht="14.25" customHeight="1">
      <c r="B18" s="2" t="s">
        <v>16</v>
      </c>
      <c r="C18" s="3" t="str">
        <f t="array" ref="C18">INDEX(DB!$G$2:$G$39,_xlfn.MODE.SNGL(MATCH(DB!$G$2:$G$39,DB!$G$2:$G$39,0)))</f>
        <v>Haruki Murakami</v>
      </c>
      <c r="D18" s="3">
        <f>COUNTIF(DB!$G$2:$G$39,Overview!C18)</f>
        <v>1</v>
      </c>
    </row>
    <row r="19" ht="14.25" customHeight="1">
      <c r="B19" s="2" t="s">
        <v>17</v>
      </c>
      <c r="C19" s="3" t="str">
        <f t="array" ref="C19">INDEX(DB!$F$2:$F$39,_xlfn.MODE.SNGL(MATCH(DB!$F$2:$F$39,DB!$F$2:$F$39,0)))</f>
        <v>América Latina</v>
      </c>
      <c r="D19" s="3">
        <f>COUNTIF(DB!$F$2:$F$39,Overview!C19)</f>
        <v>16</v>
      </c>
    </row>
    <row r="20" ht="14.25" customHeight="1">
      <c r="C20" s="1"/>
      <c r="D20" s="1"/>
    </row>
    <row r="21" ht="14.25" customHeight="1">
      <c r="C21" s="5">
        <v>44044.0</v>
      </c>
      <c r="D21" s="1"/>
    </row>
    <row r="22" ht="14.25" customHeight="1">
      <c r="C22" s="1">
        <f>8/20</f>
        <v>0.4</v>
      </c>
      <c r="D22" s="1"/>
    </row>
    <row r="23" ht="14.25" customHeight="1">
      <c r="C23" s="1"/>
      <c r="D23" s="1"/>
    </row>
    <row r="24" ht="14.25" customHeight="1">
      <c r="C24" s="1"/>
      <c r="D24" s="1"/>
    </row>
    <row r="25" ht="14.25" customHeight="1">
      <c r="C25" s="1"/>
      <c r="D25" s="1"/>
    </row>
    <row r="26" ht="14.25" customHeight="1">
      <c r="C26" s="1"/>
      <c r="D26" s="1"/>
    </row>
    <row r="27" ht="14.25" customHeight="1">
      <c r="C27" s="1"/>
      <c r="D27" s="1"/>
    </row>
    <row r="28" ht="14.25" customHeight="1">
      <c r="C28" s="1"/>
      <c r="D28" s="1"/>
    </row>
    <row r="29" ht="14.25" customHeight="1">
      <c r="C29" s="1"/>
      <c r="D29" s="1"/>
    </row>
    <row r="30" ht="14.25" customHeight="1">
      <c r="C30" s="1"/>
      <c r="D30" s="1"/>
    </row>
    <row r="31" ht="14.25" customHeight="1">
      <c r="C31" s="1"/>
      <c r="D31" s="1"/>
    </row>
    <row r="32" ht="14.25" customHeight="1">
      <c r="C32" s="1"/>
      <c r="D32" s="1"/>
    </row>
    <row r="33" ht="14.25" customHeight="1">
      <c r="C33" s="1"/>
      <c r="D33" s="1"/>
    </row>
    <row r="34" ht="14.25" customHeight="1">
      <c r="C34" s="1"/>
      <c r="D34" s="1"/>
    </row>
    <row r="35" ht="14.25" customHeight="1">
      <c r="C35" s="1"/>
      <c r="D35" s="1"/>
    </row>
    <row r="36" ht="14.25" customHeight="1">
      <c r="C36" s="1"/>
      <c r="D36" s="1"/>
    </row>
    <row r="37" ht="14.25" customHeight="1">
      <c r="C37" s="1"/>
      <c r="D37" s="1"/>
    </row>
    <row r="38" ht="14.25" customHeight="1">
      <c r="C38" s="1"/>
      <c r="D38" s="1"/>
    </row>
    <row r="39" ht="14.25" customHeight="1">
      <c r="C39" s="1"/>
      <c r="D39" s="1"/>
    </row>
    <row r="40" ht="14.25" customHeight="1">
      <c r="C40" s="1"/>
      <c r="D40" s="1"/>
    </row>
    <row r="41" ht="14.25" customHeight="1">
      <c r="C41" s="1"/>
      <c r="D41" s="1"/>
    </row>
    <row r="42" ht="14.25" customHeight="1">
      <c r="C42" s="1"/>
      <c r="D42" s="1"/>
    </row>
    <row r="43" ht="14.25" customHeight="1">
      <c r="C43" s="1"/>
      <c r="D43" s="1"/>
    </row>
    <row r="44" ht="14.25" customHeight="1">
      <c r="C44" s="1"/>
      <c r="D44" s="1"/>
    </row>
    <row r="45" ht="14.25" customHeight="1">
      <c r="C45" s="1"/>
      <c r="D45" s="1"/>
    </row>
    <row r="46" ht="14.25" customHeight="1">
      <c r="C46" s="1"/>
      <c r="D46" s="1"/>
    </row>
    <row r="47" ht="14.25" customHeight="1">
      <c r="C47" s="1"/>
      <c r="D47" s="1"/>
    </row>
    <row r="48" ht="14.25" customHeight="1">
      <c r="C48" s="1"/>
      <c r="D48" s="1"/>
    </row>
    <row r="49" ht="14.25" customHeight="1">
      <c r="C49" s="1"/>
      <c r="D49" s="1"/>
    </row>
    <row r="50" ht="14.25" customHeight="1">
      <c r="C50" s="1"/>
      <c r="D50" s="1"/>
    </row>
    <row r="51" ht="14.25" customHeight="1">
      <c r="C51" s="1"/>
      <c r="D51" s="1"/>
    </row>
    <row r="52" ht="14.25" customHeight="1">
      <c r="C52" s="1"/>
      <c r="D52" s="1"/>
    </row>
    <row r="53" ht="14.25" customHeight="1">
      <c r="C53" s="1"/>
      <c r="D53" s="1"/>
    </row>
    <row r="54" ht="14.25" customHeight="1">
      <c r="C54" s="1"/>
      <c r="D54" s="1"/>
    </row>
    <row r="55" ht="14.25" customHeight="1">
      <c r="C55" s="1"/>
      <c r="D55" s="1"/>
    </row>
    <row r="56" ht="14.25" customHeight="1">
      <c r="C56" s="1"/>
      <c r="D56" s="1"/>
    </row>
    <row r="57" ht="14.25" customHeight="1">
      <c r="C57" s="1"/>
      <c r="D57" s="1"/>
    </row>
    <row r="58" ht="14.25" customHeight="1">
      <c r="C58" s="1"/>
      <c r="D58" s="1"/>
    </row>
    <row r="59" ht="14.25" customHeight="1">
      <c r="C59" s="1"/>
      <c r="D59" s="1"/>
    </row>
    <row r="60" ht="14.25" customHeight="1">
      <c r="C60" s="1"/>
      <c r="D60" s="1"/>
    </row>
    <row r="61" ht="14.25" customHeight="1">
      <c r="C61" s="1"/>
      <c r="D61" s="1"/>
    </row>
    <row r="62" ht="14.25" customHeight="1">
      <c r="C62" s="1"/>
      <c r="D62" s="1"/>
    </row>
    <row r="63" ht="14.25" customHeight="1">
      <c r="C63" s="1"/>
      <c r="D63" s="1"/>
    </row>
    <row r="64" ht="14.25" customHeight="1">
      <c r="C64" s="1"/>
      <c r="D64" s="1"/>
    </row>
    <row r="65" ht="14.25" customHeight="1">
      <c r="C65" s="1"/>
      <c r="D65" s="1"/>
    </row>
    <row r="66" ht="14.25" customHeight="1">
      <c r="C66" s="1"/>
      <c r="D66" s="1"/>
    </row>
    <row r="67" ht="14.25" customHeight="1">
      <c r="C67" s="1"/>
      <c r="D67" s="1"/>
    </row>
    <row r="68" ht="14.25" customHeight="1">
      <c r="C68" s="1"/>
      <c r="D68" s="1"/>
    </row>
    <row r="69" ht="14.25" customHeight="1">
      <c r="C69" s="1"/>
      <c r="D69" s="1"/>
    </row>
    <row r="70" ht="14.25" customHeight="1">
      <c r="C70" s="1"/>
      <c r="D70" s="1"/>
    </row>
    <row r="71" ht="14.25" customHeight="1">
      <c r="C71" s="1"/>
      <c r="D71" s="1"/>
    </row>
    <row r="72" ht="14.25" customHeight="1">
      <c r="C72" s="1"/>
      <c r="D72" s="1"/>
    </row>
    <row r="73" ht="14.25" customHeight="1">
      <c r="C73" s="1"/>
      <c r="D73" s="1"/>
    </row>
    <row r="74" ht="14.25" customHeight="1">
      <c r="C74" s="1"/>
      <c r="D74" s="1"/>
    </row>
    <row r="75" ht="14.25" customHeight="1">
      <c r="C75" s="1"/>
      <c r="D75" s="1"/>
    </row>
    <row r="76" ht="14.25" customHeight="1">
      <c r="C76" s="1"/>
      <c r="D76" s="1"/>
    </row>
    <row r="77" ht="14.25" customHeight="1">
      <c r="C77" s="1"/>
      <c r="D77" s="1"/>
    </row>
    <row r="78" ht="14.25" customHeight="1">
      <c r="C78" s="1"/>
      <c r="D78" s="1"/>
    </row>
    <row r="79" ht="14.25" customHeight="1">
      <c r="C79" s="1"/>
      <c r="D79" s="1"/>
    </row>
    <row r="80" ht="14.25" customHeight="1">
      <c r="C80" s="1"/>
      <c r="D80" s="1"/>
    </row>
    <row r="81" ht="14.25" customHeight="1">
      <c r="C81" s="1"/>
      <c r="D81" s="1"/>
    </row>
    <row r="82" ht="14.25" customHeight="1">
      <c r="C82" s="1"/>
      <c r="D82" s="1"/>
    </row>
    <row r="83" ht="14.25" customHeight="1">
      <c r="C83" s="1"/>
      <c r="D83" s="1"/>
    </row>
    <row r="84" ht="14.25" customHeight="1">
      <c r="C84" s="1"/>
      <c r="D84" s="1"/>
    </row>
    <row r="85" ht="14.25" customHeight="1">
      <c r="C85" s="1"/>
      <c r="D85" s="1"/>
    </row>
    <row r="86" ht="14.25" customHeight="1">
      <c r="C86" s="1"/>
      <c r="D86" s="1"/>
    </row>
    <row r="87" ht="14.25" customHeight="1">
      <c r="C87" s="1"/>
      <c r="D87" s="1"/>
    </row>
    <row r="88" ht="14.25" customHeight="1">
      <c r="C88" s="1"/>
      <c r="D88" s="1"/>
    </row>
    <row r="89" ht="14.25" customHeight="1">
      <c r="C89" s="1"/>
      <c r="D89" s="1"/>
    </row>
    <row r="90" ht="14.25" customHeight="1">
      <c r="C90" s="1"/>
      <c r="D90" s="1"/>
    </row>
    <row r="91" ht="14.25" customHeight="1">
      <c r="C91" s="1"/>
      <c r="D91" s="1"/>
    </row>
    <row r="92" ht="14.25" customHeight="1">
      <c r="C92" s="1"/>
      <c r="D92" s="1"/>
    </row>
    <row r="93" ht="14.25" customHeight="1">
      <c r="C93" s="1"/>
      <c r="D93" s="1"/>
    </row>
    <row r="94" ht="14.25" customHeight="1">
      <c r="C94" s="1"/>
      <c r="D94" s="1"/>
    </row>
    <row r="95" ht="14.25" customHeight="1">
      <c r="C95" s="1"/>
      <c r="D95" s="1"/>
    </row>
    <row r="96" ht="14.25" customHeight="1">
      <c r="C96" s="1"/>
      <c r="D96" s="1"/>
    </row>
    <row r="97" ht="14.25" customHeight="1">
      <c r="C97" s="1"/>
      <c r="D97" s="1"/>
    </row>
    <row r="98" ht="14.25" customHeight="1">
      <c r="C98" s="1"/>
      <c r="D98" s="1"/>
    </row>
    <row r="99" ht="14.25" customHeight="1">
      <c r="C99" s="1"/>
      <c r="D99" s="1"/>
    </row>
    <row r="100" ht="14.25" customHeight="1">
      <c r="C100" s="1"/>
      <c r="D100" s="1"/>
    </row>
    <row r="101" ht="14.25" customHeight="1">
      <c r="C101" s="1"/>
      <c r="D101" s="1"/>
    </row>
    <row r="102" ht="14.25" customHeight="1">
      <c r="C102" s="1"/>
      <c r="D102" s="1"/>
    </row>
    <row r="103" ht="14.25" customHeight="1">
      <c r="C103" s="1"/>
      <c r="D103" s="1"/>
    </row>
    <row r="104" ht="14.25" customHeight="1">
      <c r="C104" s="1"/>
      <c r="D104" s="1"/>
    </row>
    <row r="105" ht="14.25" customHeight="1">
      <c r="C105" s="1"/>
      <c r="D105" s="1"/>
    </row>
    <row r="106" ht="14.25" customHeight="1">
      <c r="C106" s="1"/>
      <c r="D106" s="1"/>
    </row>
    <row r="107" ht="14.25" customHeight="1">
      <c r="C107" s="1"/>
      <c r="D107" s="1"/>
    </row>
    <row r="108" ht="14.25" customHeight="1">
      <c r="C108" s="1"/>
      <c r="D108" s="1"/>
    </row>
    <row r="109" ht="14.25" customHeight="1">
      <c r="C109" s="1"/>
      <c r="D109" s="1"/>
    </row>
    <row r="110" ht="14.25" customHeight="1">
      <c r="C110" s="1"/>
      <c r="D110" s="1"/>
    </row>
    <row r="111" ht="14.25" customHeight="1">
      <c r="C111" s="1"/>
      <c r="D111" s="1"/>
    </row>
    <row r="112" ht="14.25" customHeight="1">
      <c r="C112" s="1"/>
      <c r="D112" s="1"/>
    </row>
    <row r="113" ht="14.25" customHeight="1">
      <c r="C113" s="1"/>
      <c r="D113" s="1"/>
    </row>
    <row r="114" ht="14.25" customHeight="1">
      <c r="C114" s="1"/>
      <c r="D114" s="1"/>
    </row>
    <row r="115" ht="14.25" customHeight="1">
      <c r="C115" s="1"/>
      <c r="D115" s="1"/>
    </row>
    <row r="116" ht="14.25" customHeight="1">
      <c r="C116" s="1"/>
      <c r="D116" s="1"/>
    </row>
    <row r="117" ht="14.25" customHeight="1">
      <c r="C117" s="1"/>
      <c r="D117" s="1"/>
    </row>
    <row r="118" ht="14.25" customHeight="1">
      <c r="C118" s="1"/>
      <c r="D118" s="1"/>
    </row>
    <row r="119" ht="14.25" customHeight="1">
      <c r="C119" s="1"/>
      <c r="D119" s="1"/>
    </row>
    <row r="120" ht="14.25" customHeight="1">
      <c r="C120" s="1"/>
      <c r="D120" s="1"/>
    </row>
    <row r="121" ht="14.25" customHeight="1">
      <c r="C121" s="1"/>
      <c r="D121" s="1"/>
    </row>
    <row r="122" ht="14.25" customHeight="1">
      <c r="C122" s="1"/>
      <c r="D122" s="1"/>
    </row>
    <row r="123" ht="14.25" customHeight="1">
      <c r="C123" s="1"/>
      <c r="D123" s="1"/>
    </row>
    <row r="124" ht="14.25" customHeight="1">
      <c r="C124" s="1"/>
      <c r="D124" s="1"/>
    </row>
    <row r="125" ht="14.25" customHeight="1">
      <c r="C125" s="1"/>
      <c r="D125" s="1"/>
    </row>
    <row r="126" ht="14.25" customHeight="1">
      <c r="C126" s="1"/>
      <c r="D126" s="1"/>
    </row>
    <row r="127" ht="14.25" customHeight="1">
      <c r="C127" s="1"/>
      <c r="D127" s="1"/>
    </row>
    <row r="128" ht="14.25" customHeight="1">
      <c r="C128" s="1"/>
      <c r="D128" s="1"/>
    </row>
    <row r="129" ht="14.25" customHeight="1">
      <c r="C129" s="1"/>
      <c r="D129" s="1"/>
    </row>
    <row r="130" ht="14.25" customHeight="1">
      <c r="C130" s="1"/>
      <c r="D130" s="1"/>
    </row>
    <row r="131" ht="14.25" customHeight="1">
      <c r="C131" s="1"/>
      <c r="D131" s="1"/>
    </row>
    <row r="132" ht="14.25" customHeight="1">
      <c r="C132" s="1"/>
      <c r="D132" s="1"/>
    </row>
    <row r="133" ht="14.25" customHeight="1">
      <c r="C133" s="1"/>
      <c r="D133" s="1"/>
    </row>
    <row r="134" ht="14.25" customHeight="1">
      <c r="C134" s="1"/>
      <c r="D134" s="1"/>
    </row>
    <row r="135" ht="14.25" customHeight="1">
      <c r="C135" s="1"/>
      <c r="D135" s="1"/>
    </row>
    <row r="136" ht="14.25" customHeight="1">
      <c r="C136" s="1"/>
      <c r="D136" s="1"/>
    </row>
    <row r="137" ht="14.25" customHeight="1">
      <c r="C137" s="1"/>
      <c r="D137" s="1"/>
    </row>
    <row r="138" ht="14.25" customHeight="1">
      <c r="C138" s="1"/>
      <c r="D138" s="1"/>
    </row>
    <row r="139" ht="14.25" customHeight="1">
      <c r="C139" s="1"/>
      <c r="D139" s="1"/>
    </row>
    <row r="140" ht="14.25" customHeight="1">
      <c r="C140" s="1"/>
      <c r="D140" s="1"/>
    </row>
    <row r="141" ht="14.25" customHeight="1">
      <c r="C141" s="1"/>
      <c r="D141" s="1"/>
    </row>
    <row r="142" ht="14.25" customHeight="1">
      <c r="C142" s="1"/>
      <c r="D142" s="1"/>
    </row>
    <row r="143" ht="14.25" customHeight="1">
      <c r="C143" s="1"/>
      <c r="D143" s="1"/>
    </row>
    <row r="144" ht="14.25" customHeight="1">
      <c r="C144" s="1"/>
      <c r="D144" s="1"/>
    </row>
    <row r="145" ht="14.25" customHeight="1">
      <c r="C145" s="1"/>
      <c r="D145" s="1"/>
    </row>
    <row r="146" ht="14.25" customHeight="1">
      <c r="C146" s="1"/>
      <c r="D146" s="1"/>
    </row>
    <row r="147" ht="14.25" customHeight="1">
      <c r="C147" s="1"/>
      <c r="D147" s="1"/>
    </row>
    <row r="148" ht="14.25" customHeight="1">
      <c r="C148" s="1"/>
      <c r="D148" s="1"/>
    </row>
    <row r="149" ht="14.25" customHeight="1">
      <c r="C149" s="1"/>
      <c r="D149" s="1"/>
    </row>
    <row r="150" ht="14.25" customHeight="1">
      <c r="C150" s="1"/>
      <c r="D150" s="1"/>
    </row>
    <row r="151" ht="14.25" customHeight="1">
      <c r="C151" s="1"/>
      <c r="D151" s="1"/>
    </row>
    <row r="152" ht="14.25" customHeight="1">
      <c r="C152" s="1"/>
      <c r="D152" s="1"/>
    </row>
    <row r="153" ht="14.25" customHeight="1">
      <c r="C153" s="1"/>
      <c r="D153" s="1"/>
    </row>
    <row r="154" ht="14.25" customHeight="1">
      <c r="C154" s="1"/>
      <c r="D154" s="1"/>
    </row>
    <row r="155" ht="14.25" customHeight="1">
      <c r="C155" s="1"/>
      <c r="D155" s="1"/>
    </row>
    <row r="156" ht="14.25" customHeight="1">
      <c r="C156" s="1"/>
      <c r="D156" s="1"/>
    </row>
    <row r="157" ht="14.25" customHeight="1">
      <c r="C157" s="1"/>
      <c r="D157" s="1"/>
    </row>
    <row r="158" ht="14.25" customHeight="1">
      <c r="C158" s="1"/>
      <c r="D158" s="1"/>
    </row>
    <row r="159" ht="14.25" customHeight="1">
      <c r="C159" s="1"/>
      <c r="D159" s="1"/>
    </row>
    <row r="160" ht="14.25" customHeight="1">
      <c r="C160" s="1"/>
      <c r="D160" s="1"/>
    </row>
    <row r="161" ht="14.25" customHeight="1">
      <c r="C161" s="1"/>
      <c r="D161" s="1"/>
    </row>
    <row r="162" ht="14.25" customHeight="1">
      <c r="C162" s="1"/>
      <c r="D162" s="1"/>
    </row>
    <row r="163" ht="14.25" customHeight="1">
      <c r="C163" s="1"/>
      <c r="D163" s="1"/>
    </row>
    <row r="164" ht="14.25" customHeight="1">
      <c r="C164" s="1"/>
      <c r="D164" s="1"/>
    </row>
    <row r="165" ht="14.25" customHeight="1">
      <c r="C165" s="1"/>
      <c r="D165" s="1"/>
    </row>
    <row r="166" ht="14.25" customHeight="1">
      <c r="C166" s="1"/>
      <c r="D166" s="1"/>
    </row>
    <row r="167" ht="14.25" customHeight="1">
      <c r="C167" s="1"/>
      <c r="D167" s="1"/>
    </row>
    <row r="168" ht="14.25" customHeight="1">
      <c r="C168" s="1"/>
      <c r="D168" s="1"/>
    </row>
    <row r="169" ht="14.25" customHeight="1">
      <c r="C169" s="1"/>
      <c r="D169" s="1"/>
    </row>
    <row r="170" ht="14.25" customHeight="1">
      <c r="C170" s="1"/>
      <c r="D170" s="1"/>
    </row>
    <row r="171" ht="14.25" customHeight="1">
      <c r="C171" s="1"/>
      <c r="D171" s="1"/>
    </row>
    <row r="172" ht="14.25" customHeight="1">
      <c r="C172" s="1"/>
      <c r="D172" s="1"/>
    </row>
    <row r="173" ht="14.25" customHeight="1">
      <c r="C173" s="1"/>
      <c r="D173" s="1"/>
    </row>
    <row r="174" ht="14.25" customHeight="1">
      <c r="C174" s="1"/>
      <c r="D174" s="1"/>
    </row>
    <row r="175" ht="14.25" customHeight="1">
      <c r="C175" s="1"/>
      <c r="D175" s="1"/>
    </row>
    <row r="176" ht="14.25" customHeight="1">
      <c r="C176" s="1"/>
      <c r="D176" s="1"/>
    </row>
    <row r="177" ht="14.25" customHeight="1">
      <c r="C177" s="1"/>
      <c r="D177" s="1"/>
    </row>
    <row r="178" ht="14.25" customHeight="1">
      <c r="C178" s="1"/>
      <c r="D178" s="1"/>
    </row>
    <row r="179" ht="14.25" customHeight="1">
      <c r="C179" s="1"/>
      <c r="D179" s="1"/>
    </row>
    <row r="180" ht="14.25" customHeight="1">
      <c r="C180" s="1"/>
      <c r="D180" s="1"/>
    </row>
    <row r="181" ht="14.25" customHeight="1">
      <c r="C181" s="1"/>
      <c r="D181" s="1"/>
    </row>
    <row r="182" ht="14.25" customHeight="1">
      <c r="C182" s="1"/>
      <c r="D182" s="1"/>
    </row>
    <row r="183" ht="14.25" customHeight="1">
      <c r="C183" s="1"/>
      <c r="D183" s="1"/>
    </row>
    <row r="184" ht="14.25" customHeight="1">
      <c r="C184" s="1"/>
      <c r="D184" s="1"/>
    </row>
    <row r="185" ht="14.25" customHeight="1">
      <c r="C185" s="1"/>
      <c r="D185" s="1"/>
    </row>
    <row r="186" ht="14.25" customHeight="1">
      <c r="C186" s="1"/>
      <c r="D186" s="1"/>
    </row>
    <row r="187" ht="14.25" customHeight="1">
      <c r="C187" s="1"/>
      <c r="D187" s="1"/>
    </row>
    <row r="188" ht="14.25" customHeight="1">
      <c r="C188" s="1"/>
      <c r="D188" s="1"/>
    </row>
    <row r="189" ht="14.25" customHeight="1">
      <c r="C189" s="1"/>
      <c r="D189" s="1"/>
    </row>
    <row r="190" ht="14.25" customHeight="1">
      <c r="C190" s="1"/>
      <c r="D190" s="1"/>
    </row>
    <row r="191" ht="14.25" customHeight="1">
      <c r="C191" s="1"/>
      <c r="D191" s="1"/>
    </row>
    <row r="192" ht="14.25" customHeight="1">
      <c r="C192" s="1"/>
      <c r="D192" s="1"/>
    </row>
    <row r="193" ht="14.25" customHeight="1">
      <c r="C193" s="1"/>
      <c r="D193" s="1"/>
    </row>
    <row r="194" ht="14.25" customHeight="1">
      <c r="C194" s="1"/>
      <c r="D194" s="1"/>
    </row>
    <row r="195" ht="14.25" customHeight="1">
      <c r="C195" s="1"/>
      <c r="D195" s="1"/>
    </row>
    <row r="196" ht="14.25" customHeight="1">
      <c r="C196" s="1"/>
      <c r="D196" s="1"/>
    </row>
    <row r="197" ht="14.25" customHeight="1">
      <c r="C197" s="1"/>
      <c r="D197" s="1"/>
    </row>
    <row r="198" ht="14.25" customHeight="1">
      <c r="C198" s="1"/>
      <c r="D198" s="1"/>
    </row>
    <row r="199" ht="14.25" customHeight="1">
      <c r="C199" s="1"/>
      <c r="D199" s="1"/>
    </row>
    <row r="200" ht="14.25" customHeight="1">
      <c r="C200" s="1"/>
      <c r="D200" s="1"/>
    </row>
    <row r="201" ht="14.25" customHeight="1">
      <c r="C201" s="1"/>
      <c r="D201" s="1"/>
    </row>
    <row r="202" ht="14.25" customHeight="1">
      <c r="C202" s="1"/>
      <c r="D202" s="1"/>
    </row>
    <row r="203" ht="14.25" customHeight="1">
      <c r="C203" s="1"/>
      <c r="D203" s="1"/>
    </row>
    <row r="204" ht="14.25" customHeight="1">
      <c r="C204" s="1"/>
      <c r="D204" s="1"/>
    </row>
    <row r="205" ht="14.25" customHeight="1">
      <c r="C205" s="1"/>
      <c r="D205" s="1"/>
    </row>
    <row r="206" ht="14.25" customHeight="1">
      <c r="C206" s="1"/>
      <c r="D206" s="1"/>
    </row>
    <row r="207" ht="14.25" customHeight="1">
      <c r="C207" s="1"/>
      <c r="D207" s="1"/>
    </row>
    <row r="208" ht="14.25" customHeight="1">
      <c r="C208" s="1"/>
      <c r="D208" s="1"/>
    </row>
    <row r="209" ht="14.25" customHeight="1">
      <c r="C209" s="1"/>
      <c r="D209" s="1"/>
    </row>
    <row r="210" ht="14.25" customHeight="1">
      <c r="C210" s="1"/>
      <c r="D210" s="1"/>
    </row>
    <row r="211" ht="14.25" customHeight="1">
      <c r="C211" s="1"/>
      <c r="D211" s="1"/>
    </row>
    <row r="212" ht="14.25" customHeight="1">
      <c r="C212" s="1"/>
      <c r="D212" s="1"/>
    </row>
    <row r="213" ht="14.25" customHeight="1">
      <c r="C213" s="1"/>
      <c r="D213" s="1"/>
    </row>
    <row r="214" ht="14.25" customHeight="1">
      <c r="C214" s="1"/>
      <c r="D214" s="1"/>
    </row>
    <row r="215" ht="14.25" customHeight="1">
      <c r="C215" s="1"/>
      <c r="D215" s="1"/>
    </row>
    <row r="216" ht="14.25" customHeight="1">
      <c r="C216" s="1"/>
      <c r="D216" s="1"/>
    </row>
    <row r="217" ht="14.25" customHeight="1">
      <c r="C217" s="1"/>
      <c r="D217" s="1"/>
    </row>
    <row r="218" ht="14.25" customHeight="1">
      <c r="C218" s="1"/>
      <c r="D218" s="1"/>
    </row>
    <row r="219" ht="14.25" customHeight="1">
      <c r="C219" s="1"/>
      <c r="D219" s="1"/>
    </row>
    <row r="220" ht="14.25" customHeight="1">
      <c r="C220" s="1"/>
      <c r="D220" s="1"/>
    </row>
    <row r="221" ht="14.25" customHeight="1">
      <c r="C221" s="1"/>
      <c r="D221" s="1"/>
    </row>
    <row r="222" ht="14.25" customHeight="1">
      <c r="C222" s="1"/>
      <c r="D222" s="1"/>
    </row>
    <row r="223" ht="14.25" customHeight="1">
      <c r="C223" s="1"/>
      <c r="D223" s="1"/>
    </row>
    <row r="224" ht="14.25" customHeight="1">
      <c r="C224" s="1"/>
      <c r="D224" s="1"/>
    </row>
    <row r="225" ht="14.25" customHeight="1">
      <c r="C225" s="1"/>
      <c r="D225" s="1"/>
    </row>
    <row r="226" ht="14.25" customHeight="1">
      <c r="C226" s="1"/>
      <c r="D226" s="1"/>
    </row>
    <row r="227" ht="14.25" customHeight="1">
      <c r="C227" s="1"/>
      <c r="D227" s="1"/>
    </row>
    <row r="228" ht="14.25" customHeight="1">
      <c r="C228" s="1"/>
      <c r="D228" s="1"/>
    </row>
    <row r="229" ht="14.25" customHeight="1">
      <c r="C229" s="1"/>
      <c r="D229" s="1"/>
    </row>
    <row r="230" ht="14.25" customHeight="1">
      <c r="C230" s="1"/>
      <c r="D230" s="1"/>
    </row>
    <row r="231" ht="14.25" customHeight="1">
      <c r="C231" s="1"/>
      <c r="D231" s="1"/>
    </row>
    <row r="232" ht="14.25" customHeight="1">
      <c r="C232" s="1"/>
      <c r="D232" s="1"/>
    </row>
    <row r="233" ht="14.25" customHeight="1">
      <c r="C233" s="1"/>
      <c r="D233" s="1"/>
    </row>
    <row r="234" ht="14.25" customHeight="1">
      <c r="C234" s="1"/>
      <c r="D234" s="1"/>
    </row>
    <row r="235" ht="14.25" customHeight="1">
      <c r="C235" s="1"/>
      <c r="D235" s="1"/>
    </row>
    <row r="236" ht="14.25" customHeight="1">
      <c r="C236" s="1"/>
      <c r="D236" s="1"/>
    </row>
    <row r="237" ht="14.25" customHeight="1">
      <c r="C237" s="1"/>
      <c r="D237" s="1"/>
    </row>
    <row r="238" ht="14.25" customHeight="1">
      <c r="C238" s="1"/>
      <c r="D238" s="1"/>
    </row>
    <row r="239" ht="14.25" customHeight="1">
      <c r="C239" s="1"/>
      <c r="D239" s="1"/>
    </row>
    <row r="240" ht="14.25" customHeight="1">
      <c r="C240" s="1"/>
      <c r="D240" s="1"/>
    </row>
    <row r="241" ht="14.25" customHeight="1">
      <c r="C241" s="1"/>
      <c r="D241" s="1"/>
    </row>
    <row r="242" ht="14.25" customHeight="1">
      <c r="C242" s="1"/>
      <c r="D242" s="1"/>
    </row>
    <row r="243" ht="14.25" customHeight="1">
      <c r="C243" s="1"/>
      <c r="D243" s="1"/>
    </row>
    <row r="244" ht="14.25" customHeight="1">
      <c r="C244" s="1"/>
      <c r="D244" s="1"/>
    </row>
    <row r="245" ht="14.25" customHeight="1">
      <c r="C245" s="1"/>
      <c r="D245" s="1"/>
    </row>
    <row r="246" ht="14.25" customHeight="1">
      <c r="C246" s="1"/>
      <c r="D246" s="1"/>
    </row>
    <row r="247" ht="14.25" customHeight="1">
      <c r="C247" s="1"/>
      <c r="D247" s="1"/>
    </row>
    <row r="248" ht="14.25" customHeight="1">
      <c r="C248" s="1"/>
      <c r="D248" s="1"/>
    </row>
    <row r="249" ht="14.25" customHeight="1">
      <c r="C249" s="1"/>
      <c r="D249" s="1"/>
    </row>
    <row r="250" ht="14.25" customHeight="1">
      <c r="C250" s="1"/>
      <c r="D250" s="1"/>
    </row>
    <row r="251" ht="14.25" customHeight="1">
      <c r="C251" s="1"/>
      <c r="D251" s="1"/>
    </row>
    <row r="252" ht="14.25" customHeight="1">
      <c r="C252" s="1"/>
      <c r="D252" s="1"/>
    </row>
    <row r="253" ht="14.25" customHeight="1">
      <c r="C253" s="1"/>
      <c r="D253" s="1"/>
    </row>
    <row r="254" ht="14.25" customHeight="1">
      <c r="C254" s="1"/>
      <c r="D254" s="1"/>
    </row>
    <row r="255" ht="14.25" customHeight="1">
      <c r="C255" s="1"/>
      <c r="D255" s="1"/>
    </row>
    <row r="256" ht="14.25" customHeight="1">
      <c r="C256" s="1"/>
      <c r="D256" s="1"/>
    </row>
    <row r="257" ht="14.25" customHeight="1">
      <c r="C257" s="1"/>
      <c r="D257" s="1"/>
    </row>
    <row r="258" ht="14.25" customHeight="1">
      <c r="C258" s="1"/>
      <c r="D258" s="1"/>
    </row>
    <row r="259" ht="14.25" customHeight="1">
      <c r="C259" s="1"/>
      <c r="D259" s="1"/>
    </row>
    <row r="260" ht="14.25" customHeight="1">
      <c r="C260" s="1"/>
      <c r="D260" s="1"/>
    </row>
    <row r="261" ht="14.25" customHeight="1">
      <c r="C261" s="1"/>
      <c r="D261" s="1"/>
    </row>
    <row r="262" ht="14.25" customHeight="1">
      <c r="C262" s="1"/>
      <c r="D262" s="1"/>
    </row>
    <row r="263" ht="14.25" customHeight="1">
      <c r="C263" s="1"/>
      <c r="D263" s="1"/>
    </row>
    <row r="264" ht="14.25" customHeight="1">
      <c r="C264" s="1"/>
      <c r="D264" s="1"/>
    </row>
    <row r="265" ht="14.25" customHeight="1">
      <c r="C265" s="1"/>
      <c r="D265" s="1"/>
    </row>
    <row r="266" ht="14.25" customHeight="1">
      <c r="C266" s="1"/>
      <c r="D266" s="1"/>
    </row>
    <row r="267" ht="14.25" customHeight="1">
      <c r="C267" s="1"/>
      <c r="D267" s="1"/>
    </row>
    <row r="268" ht="14.25" customHeight="1">
      <c r="C268" s="1"/>
      <c r="D268" s="1"/>
    </row>
    <row r="269" ht="14.25" customHeight="1">
      <c r="C269" s="1"/>
      <c r="D269" s="1"/>
    </row>
    <row r="270" ht="14.25" customHeight="1">
      <c r="C270" s="1"/>
      <c r="D270" s="1"/>
    </row>
    <row r="271" ht="14.25" customHeight="1">
      <c r="C271" s="1"/>
      <c r="D271" s="1"/>
    </row>
    <row r="272" ht="14.25" customHeight="1">
      <c r="C272" s="1"/>
      <c r="D272" s="1"/>
    </row>
    <row r="273" ht="14.25" customHeight="1">
      <c r="C273" s="1"/>
      <c r="D273" s="1"/>
    </row>
    <row r="274" ht="14.25" customHeight="1">
      <c r="C274" s="1"/>
      <c r="D274" s="1"/>
    </row>
    <row r="275" ht="14.25" customHeight="1">
      <c r="C275" s="1"/>
      <c r="D275" s="1"/>
    </row>
    <row r="276" ht="14.25" customHeight="1">
      <c r="C276" s="1"/>
      <c r="D276" s="1"/>
    </row>
    <row r="277" ht="14.25" customHeight="1">
      <c r="C277" s="1"/>
      <c r="D277" s="1"/>
    </row>
    <row r="278" ht="14.25" customHeight="1">
      <c r="C278" s="1"/>
      <c r="D278" s="1"/>
    </row>
    <row r="279" ht="14.25" customHeight="1">
      <c r="C279" s="1"/>
      <c r="D279" s="1"/>
    </row>
    <row r="280" ht="14.25" customHeight="1">
      <c r="C280" s="1"/>
      <c r="D280" s="1"/>
    </row>
    <row r="281" ht="14.25" customHeight="1">
      <c r="C281" s="1"/>
      <c r="D281" s="1"/>
    </row>
    <row r="282" ht="14.25" customHeight="1">
      <c r="C282" s="1"/>
      <c r="D282" s="1"/>
    </row>
    <row r="283" ht="14.25" customHeight="1">
      <c r="C283" s="1"/>
      <c r="D283" s="1"/>
    </row>
    <row r="284" ht="14.25" customHeight="1">
      <c r="C284" s="1"/>
      <c r="D284" s="1"/>
    </row>
    <row r="285" ht="14.25" customHeight="1">
      <c r="C285" s="1"/>
      <c r="D285" s="1"/>
    </row>
    <row r="286" ht="14.25" customHeight="1">
      <c r="C286" s="1"/>
      <c r="D286" s="1"/>
    </row>
    <row r="287" ht="14.25" customHeight="1">
      <c r="C287" s="1"/>
      <c r="D287" s="1"/>
    </row>
    <row r="288" ht="14.25" customHeight="1">
      <c r="C288" s="1"/>
      <c r="D288" s="1"/>
    </row>
    <row r="289" ht="14.25" customHeight="1">
      <c r="C289" s="1"/>
      <c r="D289" s="1"/>
    </row>
    <row r="290" ht="14.25" customHeight="1">
      <c r="C290" s="1"/>
      <c r="D290" s="1"/>
    </row>
    <row r="291" ht="14.25" customHeight="1">
      <c r="C291" s="1"/>
      <c r="D291" s="1"/>
    </row>
    <row r="292" ht="14.25" customHeight="1">
      <c r="C292" s="1"/>
      <c r="D292" s="1"/>
    </row>
    <row r="293" ht="14.25" customHeight="1">
      <c r="C293" s="1"/>
      <c r="D293" s="1"/>
    </row>
    <row r="294" ht="14.25" customHeight="1">
      <c r="C294" s="1"/>
      <c r="D294" s="1"/>
    </row>
    <row r="295" ht="14.25" customHeight="1">
      <c r="C295" s="1"/>
      <c r="D295" s="1"/>
    </row>
    <row r="296" ht="14.25" customHeight="1">
      <c r="C296" s="1"/>
      <c r="D296" s="1"/>
    </row>
    <row r="297" ht="14.25" customHeight="1">
      <c r="C297" s="1"/>
      <c r="D297" s="1"/>
    </row>
    <row r="298" ht="14.25" customHeight="1">
      <c r="C298" s="1"/>
      <c r="D298" s="1"/>
    </row>
    <row r="299" ht="14.25" customHeight="1">
      <c r="C299" s="1"/>
      <c r="D299" s="1"/>
    </row>
    <row r="300" ht="14.25" customHeight="1">
      <c r="C300" s="1"/>
      <c r="D300" s="1"/>
    </row>
    <row r="301" ht="14.25" customHeight="1">
      <c r="C301" s="1"/>
      <c r="D301" s="1"/>
    </row>
    <row r="302" ht="14.25" customHeight="1">
      <c r="C302" s="1"/>
      <c r="D302" s="1"/>
    </row>
    <row r="303" ht="14.25" customHeight="1">
      <c r="C303" s="1"/>
      <c r="D303" s="1"/>
    </row>
    <row r="304" ht="14.25" customHeight="1">
      <c r="C304" s="1"/>
      <c r="D304" s="1"/>
    </row>
    <row r="305" ht="14.25" customHeight="1">
      <c r="C305" s="1"/>
      <c r="D305" s="1"/>
    </row>
    <row r="306" ht="14.25" customHeight="1">
      <c r="C306" s="1"/>
      <c r="D306" s="1"/>
    </row>
    <row r="307" ht="14.25" customHeight="1">
      <c r="C307" s="1"/>
      <c r="D307" s="1"/>
    </row>
    <row r="308" ht="14.25" customHeight="1">
      <c r="C308" s="1"/>
      <c r="D308" s="1"/>
    </row>
    <row r="309" ht="14.25" customHeight="1">
      <c r="C309" s="1"/>
      <c r="D309" s="1"/>
    </row>
    <row r="310" ht="14.25" customHeight="1">
      <c r="C310" s="1"/>
      <c r="D310" s="1"/>
    </row>
    <row r="311" ht="14.25" customHeight="1">
      <c r="C311" s="1"/>
      <c r="D311" s="1"/>
    </row>
    <row r="312" ht="14.25" customHeight="1">
      <c r="C312" s="1"/>
      <c r="D312" s="1"/>
    </row>
    <row r="313" ht="14.25" customHeight="1">
      <c r="C313" s="1"/>
      <c r="D313" s="1"/>
    </row>
    <row r="314" ht="14.25" customHeight="1">
      <c r="C314" s="1"/>
      <c r="D314" s="1"/>
    </row>
    <row r="315" ht="14.25" customHeight="1">
      <c r="C315" s="1"/>
      <c r="D315" s="1"/>
    </row>
    <row r="316" ht="14.25" customHeight="1">
      <c r="C316" s="1"/>
      <c r="D316" s="1"/>
    </row>
    <row r="317" ht="14.25" customHeight="1">
      <c r="C317" s="1"/>
      <c r="D317" s="1"/>
    </row>
    <row r="318" ht="14.25" customHeight="1">
      <c r="C318" s="1"/>
      <c r="D318" s="1"/>
    </row>
    <row r="319" ht="14.25" customHeight="1">
      <c r="C319" s="1"/>
      <c r="D319" s="1"/>
    </row>
    <row r="320" ht="14.25" customHeight="1">
      <c r="C320" s="1"/>
      <c r="D320" s="1"/>
    </row>
    <row r="321" ht="14.25" customHeight="1">
      <c r="C321" s="1"/>
      <c r="D321" s="1"/>
    </row>
    <row r="322" ht="14.25" customHeight="1">
      <c r="C322" s="1"/>
      <c r="D322" s="1"/>
    </row>
    <row r="323" ht="14.25" customHeight="1">
      <c r="C323" s="1"/>
      <c r="D323" s="1"/>
    </row>
    <row r="324" ht="14.25" customHeight="1">
      <c r="C324" s="1"/>
      <c r="D324" s="1"/>
    </row>
    <row r="325" ht="14.25" customHeight="1">
      <c r="C325" s="1"/>
      <c r="D325" s="1"/>
    </row>
    <row r="326" ht="14.25" customHeight="1">
      <c r="C326" s="1"/>
      <c r="D326" s="1"/>
    </row>
    <row r="327" ht="14.25" customHeight="1">
      <c r="C327" s="1"/>
      <c r="D327" s="1"/>
    </row>
    <row r="328" ht="14.25" customHeight="1">
      <c r="C328" s="1"/>
      <c r="D328" s="1"/>
    </row>
    <row r="329" ht="14.25" customHeight="1">
      <c r="C329" s="1"/>
      <c r="D329" s="1"/>
    </row>
    <row r="330" ht="14.25" customHeight="1">
      <c r="C330" s="1"/>
      <c r="D330" s="1"/>
    </row>
    <row r="331" ht="14.25" customHeight="1">
      <c r="C331" s="1"/>
      <c r="D331" s="1"/>
    </row>
    <row r="332" ht="14.25" customHeight="1">
      <c r="C332" s="1"/>
      <c r="D332" s="1"/>
    </row>
    <row r="333" ht="14.25" customHeight="1">
      <c r="C333" s="1"/>
      <c r="D333" s="1"/>
    </row>
    <row r="334" ht="14.25" customHeight="1">
      <c r="C334" s="1"/>
      <c r="D334" s="1"/>
    </row>
    <row r="335" ht="14.25" customHeight="1">
      <c r="C335" s="1"/>
      <c r="D335" s="1"/>
    </row>
    <row r="336" ht="14.25" customHeight="1">
      <c r="C336" s="1"/>
      <c r="D336" s="1"/>
    </row>
    <row r="337" ht="14.25" customHeight="1">
      <c r="C337" s="1"/>
      <c r="D337" s="1"/>
    </row>
    <row r="338" ht="14.25" customHeight="1">
      <c r="C338" s="1"/>
      <c r="D338" s="1"/>
    </row>
    <row r="339" ht="14.25" customHeight="1">
      <c r="C339" s="1"/>
      <c r="D339" s="1"/>
    </row>
    <row r="340" ht="14.25" customHeight="1">
      <c r="C340" s="1"/>
      <c r="D340" s="1"/>
    </row>
    <row r="341" ht="14.25" customHeight="1">
      <c r="C341" s="1"/>
      <c r="D341" s="1"/>
    </row>
    <row r="342" ht="14.25" customHeight="1">
      <c r="C342" s="1"/>
      <c r="D342" s="1"/>
    </row>
    <row r="343" ht="14.25" customHeight="1">
      <c r="C343" s="1"/>
      <c r="D343" s="1"/>
    </row>
    <row r="344" ht="14.25" customHeight="1">
      <c r="C344" s="1"/>
      <c r="D344" s="1"/>
    </row>
    <row r="345" ht="14.25" customHeight="1">
      <c r="C345" s="1"/>
      <c r="D345" s="1"/>
    </row>
    <row r="346" ht="14.25" customHeight="1">
      <c r="C346" s="1"/>
      <c r="D346" s="1"/>
    </row>
    <row r="347" ht="14.25" customHeight="1">
      <c r="C347" s="1"/>
      <c r="D347" s="1"/>
    </row>
    <row r="348" ht="14.25" customHeight="1">
      <c r="C348" s="1"/>
      <c r="D348" s="1"/>
    </row>
    <row r="349" ht="14.25" customHeight="1">
      <c r="C349" s="1"/>
      <c r="D349" s="1"/>
    </row>
    <row r="350" ht="14.25" customHeight="1">
      <c r="C350" s="1"/>
      <c r="D350" s="1"/>
    </row>
    <row r="351" ht="14.25" customHeight="1">
      <c r="C351" s="1"/>
      <c r="D351" s="1"/>
    </row>
    <row r="352" ht="14.25" customHeight="1">
      <c r="C352" s="1"/>
      <c r="D352" s="1"/>
    </row>
    <row r="353" ht="14.25" customHeight="1">
      <c r="C353" s="1"/>
      <c r="D353" s="1"/>
    </row>
    <row r="354" ht="14.25" customHeight="1">
      <c r="C354" s="1"/>
      <c r="D354" s="1"/>
    </row>
    <row r="355" ht="14.25" customHeight="1">
      <c r="C355" s="1"/>
      <c r="D355" s="1"/>
    </row>
    <row r="356" ht="14.25" customHeight="1">
      <c r="C356" s="1"/>
      <c r="D356" s="1"/>
    </row>
    <row r="357" ht="14.25" customHeight="1">
      <c r="C357" s="1"/>
      <c r="D357" s="1"/>
    </row>
    <row r="358" ht="14.25" customHeight="1">
      <c r="C358" s="1"/>
      <c r="D358" s="1"/>
    </row>
    <row r="359" ht="14.25" customHeight="1">
      <c r="C359" s="1"/>
      <c r="D359" s="1"/>
    </row>
    <row r="360" ht="14.25" customHeight="1">
      <c r="C360" s="1"/>
      <c r="D360" s="1"/>
    </row>
    <row r="361" ht="14.25" customHeight="1">
      <c r="C361" s="1"/>
      <c r="D361" s="1"/>
    </row>
    <row r="362" ht="14.25" customHeight="1">
      <c r="C362" s="1"/>
      <c r="D362" s="1"/>
    </row>
    <row r="363" ht="14.25" customHeight="1">
      <c r="C363" s="1"/>
      <c r="D363" s="1"/>
    </row>
    <row r="364" ht="14.25" customHeight="1">
      <c r="C364" s="1"/>
      <c r="D364" s="1"/>
    </row>
    <row r="365" ht="14.25" customHeight="1">
      <c r="C365" s="1"/>
      <c r="D365" s="1"/>
    </row>
    <row r="366" ht="14.25" customHeight="1">
      <c r="C366" s="1"/>
      <c r="D366" s="1"/>
    </row>
    <row r="367" ht="14.25" customHeight="1">
      <c r="C367" s="1"/>
      <c r="D367" s="1"/>
    </row>
    <row r="368" ht="14.25" customHeight="1">
      <c r="C368" s="1"/>
      <c r="D368" s="1"/>
    </row>
    <row r="369" ht="14.25" customHeight="1">
      <c r="C369" s="1"/>
      <c r="D369" s="1"/>
    </row>
    <row r="370" ht="14.25" customHeight="1">
      <c r="C370" s="1"/>
      <c r="D370" s="1"/>
    </row>
    <row r="371" ht="14.25" customHeight="1">
      <c r="C371" s="1"/>
      <c r="D371" s="1"/>
    </row>
    <row r="372" ht="14.25" customHeight="1">
      <c r="C372" s="1"/>
      <c r="D372" s="1"/>
    </row>
    <row r="373" ht="14.25" customHeight="1">
      <c r="C373" s="1"/>
      <c r="D373" s="1"/>
    </row>
    <row r="374" ht="14.25" customHeight="1">
      <c r="C374" s="1"/>
      <c r="D374" s="1"/>
    </row>
    <row r="375" ht="14.25" customHeight="1">
      <c r="C375" s="1"/>
      <c r="D375" s="1"/>
    </row>
    <row r="376" ht="14.25" customHeight="1">
      <c r="C376" s="1"/>
      <c r="D376" s="1"/>
    </row>
    <row r="377" ht="14.25" customHeight="1">
      <c r="C377" s="1"/>
      <c r="D377" s="1"/>
    </row>
    <row r="378" ht="14.25" customHeight="1">
      <c r="C378" s="1"/>
      <c r="D378" s="1"/>
    </row>
    <row r="379" ht="14.25" customHeight="1">
      <c r="C379" s="1"/>
      <c r="D379" s="1"/>
    </row>
    <row r="380" ht="14.25" customHeight="1">
      <c r="C380" s="1"/>
      <c r="D380" s="1"/>
    </row>
    <row r="381" ht="14.25" customHeight="1">
      <c r="C381" s="1"/>
      <c r="D381" s="1"/>
    </row>
    <row r="382" ht="14.25" customHeight="1">
      <c r="C382" s="1"/>
      <c r="D382" s="1"/>
    </row>
    <row r="383" ht="14.25" customHeight="1">
      <c r="C383" s="1"/>
      <c r="D383" s="1"/>
    </row>
    <row r="384" ht="14.25" customHeight="1">
      <c r="C384" s="1"/>
      <c r="D384" s="1"/>
    </row>
    <row r="385" ht="14.25" customHeight="1">
      <c r="C385" s="1"/>
      <c r="D385" s="1"/>
    </row>
    <row r="386" ht="14.25" customHeight="1">
      <c r="C386" s="1"/>
      <c r="D386" s="1"/>
    </row>
    <row r="387" ht="14.25" customHeight="1">
      <c r="C387" s="1"/>
      <c r="D387" s="1"/>
    </row>
    <row r="388" ht="14.25" customHeight="1">
      <c r="C388" s="1"/>
      <c r="D388" s="1"/>
    </row>
    <row r="389" ht="14.25" customHeight="1">
      <c r="C389" s="1"/>
      <c r="D389" s="1"/>
    </row>
    <row r="390" ht="14.25" customHeight="1">
      <c r="C390" s="1"/>
      <c r="D390" s="1"/>
    </row>
    <row r="391" ht="14.25" customHeight="1">
      <c r="C391" s="1"/>
      <c r="D391" s="1"/>
    </row>
    <row r="392" ht="14.25" customHeight="1">
      <c r="C392" s="1"/>
      <c r="D392" s="1"/>
    </row>
    <row r="393" ht="14.25" customHeight="1">
      <c r="C393" s="1"/>
      <c r="D393" s="1"/>
    </row>
    <row r="394" ht="14.25" customHeight="1">
      <c r="C394" s="1"/>
      <c r="D394" s="1"/>
    </row>
    <row r="395" ht="14.25" customHeight="1">
      <c r="C395" s="1"/>
      <c r="D395" s="1"/>
    </row>
    <row r="396" ht="14.25" customHeight="1">
      <c r="C396" s="1"/>
      <c r="D396" s="1"/>
    </row>
    <row r="397" ht="14.25" customHeight="1">
      <c r="C397" s="1"/>
      <c r="D397" s="1"/>
    </row>
    <row r="398" ht="14.25" customHeight="1">
      <c r="C398" s="1"/>
      <c r="D398" s="1"/>
    </row>
    <row r="399" ht="14.25" customHeight="1">
      <c r="C399" s="1"/>
      <c r="D399" s="1"/>
    </row>
    <row r="400" ht="14.25" customHeight="1">
      <c r="C400" s="1"/>
      <c r="D400" s="1"/>
    </row>
    <row r="401" ht="14.25" customHeight="1">
      <c r="C401" s="1"/>
      <c r="D401" s="1"/>
    </row>
    <row r="402" ht="14.25" customHeight="1">
      <c r="C402" s="1"/>
      <c r="D402" s="1"/>
    </row>
    <row r="403" ht="14.25" customHeight="1">
      <c r="C403" s="1"/>
      <c r="D403" s="1"/>
    </row>
    <row r="404" ht="14.25" customHeight="1">
      <c r="C404" s="1"/>
      <c r="D404" s="1"/>
    </row>
    <row r="405" ht="14.25" customHeight="1">
      <c r="C405" s="1"/>
      <c r="D405" s="1"/>
    </row>
    <row r="406" ht="14.25" customHeight="1">
      <c r="C406" s="1"/>
      <c r="D406" s="1"/>
    </row>
    <row r="407" ht="14.25" customHeight="1">
      <c r="C407" s="1"/>
      <c r="D407" s="1"/>
    </row>
    <row r="408" ht="14.25" customHeight="1">
      <c r="C408" s="1"/>
      <c r="D408" s="1"/>
    </row>
    <row r="409" ht="14.25" customHeight="1">
      <c r="C409" s="1"/>
      <c r="D409" s="1"/>
    </row>
    <row r="410" ht="14.25" customHeight="1">
      <c r="C410" s="1"/>
      <c r="D410" s="1"/>
    </row>
    <row r="411" ht="14.25" customHeight="1">
      <c r="C411" s="1"/>
      <c r="D411" s="1"/>
    </row>
    <row r="412" ht="14.25" customHeight="1">
      <c r="C412" s="1"/>
      <c r="D412" s="1"/>
    </row>
    <row r="413" ht="14.25" customHeight="1">
      <c r="C413" s="1"/>
      <c r="D413" s="1"/>
    </row>
    <row r="414" ht="14.25" customHeight="1">
      <c r="C414" s="1"/>
      <c r="D414" s="1"/>
    </row>
    <row r="415" ht="14.25" customHeight="1">
      <c r="C415" s="1"/>
      <c r="D415" s="1"/>
    </row>
    <row r="416" ht="14.25" customHeight="1">
      <c r="C416" s="1"/>
      <c r="D416" s="1"/>
    </row>
    <row r="417" ht="14.25" customHeight="1">
      <c r="C417" s="1"/>
      <c r="D417" s="1"/>
    </row>
    <row r="418" ht="14.25" customHeight="1">
      <c r="C418" s="1"/>
      <c r="D418" s="1"/>
    </row>
    <row r="419" ht="14.25" customHeight="1">
      <c r="C419" s="1"/>
      <c r="D419" s="1"/>
    </row>
    <row r="420" ht="14.25" customHeight="1">
      <c r="C420" s="1"/>
      <c r="D420" s="1"/>
    </row>
    <row r="421" ht="14.25" customHeight="1">
      <c r="C421" s="1"/>
      <c r="D421" s="1"/>
    </row>
    <row r="422" ht="14.25" customHeight="1">
      <c r="C422" s="1"/>
      <c r="D422" s="1"/>
    </row>
    <row r="423" ht="14.25" customHeight="1">
      <c r="C423" s="1"/>
      <c r="D423" s="1"/>
    </row>
    <row r="424" ht="14.25" customHeight="1">
      <c r="C424" s="1"/>
      <c r="D424" s="1"/>
    </row>
    <row r="425" ht="14.25" customHeight="1">
      <c r="C425" s="1"/>
      <c r="D425" s="1"/>
    </row>
    <row r="426" ht="14.25" customHeight="1">
      <c r="C426" s="1"/>
      <c r="D426" s="1"/>
    </row>
    <row r="427" ht="14.25" customHeight="1">
      <c r="C427" s="1"/>
      <c r="D427" s="1"/>
    </row>
    <row r="428" ht="14.25" customHeight="1">
      <c r="C428" s="1"/>
      <c r="D428" s="1"/>
    </row>
    <row r="429" ht="14.25" customHeight="1">
      <c r="C429" s="1"/>
      <c r="D429" s="1"/>
    </row>
    <row r="430" ht="14.25" customHeight="1">
      <c r="C430" s="1"/>
      <c r="D430" s="1"/>
    </row>
    <row r="431" ht="14.25" customHeight="1">
      <c r="C431" s="1"/>
      <c r="D431" s="1"/>
    </row>
    <row r="432" ht="14.25" customHeight="1">
      <c r="C432" s="1"/>
      <c r="D432" s="1"/>
    </row>
    <row r="433" ht="14.25" customHeight="1">
      <c r="C433" s="1"/>
      <c r="D433" s="1"/>
    </row>
    <row r="434" ht="14.25" customHeight="1">
      <c r="C434" s="1"/>
      <c r="D434" s="1"/>
    </row>
    <row r="435" ht="14.25" customHeight="1">
      <c r="C435" s="1"/>
      <c r="D435" s="1"/>
    </row>
    <row r="436" ht="14.25" customHeight="1">
      <c r="C436" s="1"/>
      <c r="D436" s="1"/>
    </row>
    <row r="437" ht="14.25" customHeight="1">
      <c r="C437" s="1"/>
      <c r="D437" s="1"/>
    </row>
    <row r="438" ht="14.25" customHeight="1">
      <c r="C438" s="1"/>
      <c r="D438" s="1"/>
    </row>
    <row r="439" ht="14.25" customHeight="1">
      <c r="C439" s="1"/>
      <c r="D439" s="1"/>
    </row>
    <row r="440" ht="14.25" customHeight="1">
      <c r="C440" s="1"/>
      <c r="D440" s="1"/>
    </row>
    <row r="441" ht="14.25" customHeight="1">
      <c r="C441" s="1"/>
      <c r="D441" s="1"/>
    </row>
    <row r="442" ht="14.25" customHeight="1">
      <c r="C442" s="1"/>
      <c r="D442" s="1"/>
    </row>
    <row r="443" ht="14.25" customHeight="1">
      <c r="C443" s="1"/>
      <c r="D443" s="1"/>
    </row>
    <row r="444" ht="14.25" customHeight="1">
      <c r="C444" s="1"/>
      <c r="D444" s="1"/>
    </row>
    <row r="445" ht="14.25" customHeight="1">
      <c r="C445" s="1"/>
      <c r="D445" s="1"/>
    </row>
    <row r="446" ht="14.25" customHeight="1">
      <c r="C446" s="1"/>
      <c r="D446" s="1"/>
    </row>
    <row r="447" ht="14.25" customHeight="1">
      <c r="C447" s="1"/>
      <c r="D447" s="1"/>
    </row>
    <row r="448" ht="14.25" customHeight="1">
      <c r="C448" s="1"/>
      <c r="D448" s="1"/>
    </row>
    <row r="449" ht="14.25" customHeight="1">
      <c r="C449" s="1"/>
      <c r="D449" s="1"/>
    </row>
    <row r="450" ht="14.25" customHeight="1">
      <c r="C450" s="1"/>
      <c r="D450" s="1"/>
    </row>
    <row r="451" ht="14.25" customHeight="1">
      <c r="C451" s="1"/>
      <c r="D451" s="1"/>
    </row>
    <row r="452" ht="14.25" customHeight="1">
      <c r="C452" s="1"/>
      <c r="D452" s="1"/>
    </row>
    <row r="453" ht="14.25" customHeight="1">
      <c r="C453" s="1"/>
      <c r="D453" s="1"/>
    </row>
    <row r="454" ht="14.25" customHeight="1">
      <c r="C454" s="1"/>
      <c r="D454" s="1"/>
    </row>
    <row r="455" ht="14.25" customHeight="1">
      <c r="C455" s="1"/>
      <c r="D455" s="1"/>
    </row>
    <row r="456" ht="14.25" customHeight="1">
      <c r="C456" s="1"/>
      <c r="D456" s="1"/>
    </row>
    <row r="457" ht="14.25" customHeight="1">
      <c r="C457" s="1"/>
      <c r="D457" s="1"/>
    </row>
    <row r="458" ht="14.25" customHeight="1">
      <c r="C458" s="1"/>
      <c r="D458" s="1"/>
    </row>
    <row r="459" ht="14.25" customHeight="1">
      <c r="C459" s="1"/>
      <c r="D459" s="1"/>
    </row>
    <row r="460" ht="14.25" customHeight="1">
      <c r="C460" s="1"/>
      <c r="D460" s="1"/>
    </row>
    <row r="461" ht="14.25" customHeight="1">
      <c r="C461" s="1"/>
      <c r="D461" s="1"/>
    </row>
    <row r="462" ht="14.25" customHeight="1">
      <c r="C462" s="1"/>
      <c r="D462" s="1"/>
    </row>
    <row r="463" ht="14.25" customHeight="1">
      <c r="C463" s="1"/>
      <c r="D463" s="1"/>
    </row>
    <row r="464" ht="14.25" customHeight="1">
      <c r="C464" s="1"/>
      <c r="D464" s="1"/>
    </row>
    <row r="465" ht="14.25" customHeight="1">
      <c r="C465" s="1"/>
      <c r="D465" s="1"/>
    </row>
    <row r="466" ht="14.25" customHeight="1">
      <c r="C466" s="1"/>
      <c r="D466" s="1"/>
    </row>
    <row r="467" ht="14.25" customHeight="1">
      <c r="C467" s="1"/>
      <c r="D467" s="1"/>
    </row>
    <row r="468" ht="14.25" customHeight="1">
      <c r="C468" s="1"/>
      <c r="D468" s="1"/>
    </row>
    <row r="469" ht="14.25" customHeight="1">
      <c r="C469" s="1"/>
      <c r="D469" s="1"/>
    </row>
    <row r="470" ht="14.25" customHeight="1">
      <c r="C470" s="1"/>
      <c r="D470" s="1"/>
    </row>
    <row r="471" ht="14.25" customHeight="1">
      <c r="C471" s="1"/>
      <c r="D471" s="1"/>
    </row>
    <row r="472" ht="14.25" customHeight="1">
      <c r="C472" s="1"/>
      <c r="D472" s="1"/>
    </row>
    <row r="473" ht="14.25" customHeight="1">
      <c r="C473" s="1"/>
      <c r="D473" s="1"/>
    </row>
    <row r="474" ht="14.25" customHeight="1">
      <c r="C474" s="1"/>
      <c r="D474" s="1"/>
    </row>
    <row r="475" ht="14.25" customHeight="1">
      <c r="C475" s="1"/>
      <c r="D475" s="1"/>
    </row>
    <row r="476" ht="14.25" customHeight="1">
      <c r="C476" s="1"/>
      <c r="D476" s="1"/>
    </row>
    <row r="477" ht="14.25" customHeight="1">
      <c r="C477" s="1"/>
      <c r="D477" s="1"/>
    </row>
    <row r="478" ht="14.25" customHeight="1">
      <c r="C478" s="1"/>
      <c r="D478" s="1"/>
    </row>
    <row r="479" ht="14.25" customHeight="1">
      <c r="C479" s="1"/>
      <c r="D479" s="1"/>
    </row>
    <row r="480" ht="14.25" customHeight="1">
      <c r="C480" s="1"/>
      <c r="D480" s="1"/>
    </row>
    <row r="481" ht="14.25" customHeight="1">
      <c r="C481" s="1"/>
      <c r="D481" s="1"/>
    </row>
    <row r="482" ht="14.25" customHeight="1">
      <c r="C482" s="1"/>
      <c r="D482" s="1"/>
    </row>
    <row r="483" ht="14.25" customHeight="1">
      <c r="C483" s="1"/>
      <c r="D483" s="1"/>
    </row>
    <row r="484" ht="14.25" customHeight="1">
      <c r="C484" s="1"/>
      <c r="D484" s="1"/>
    </row>
    <row r="485" ht="14.25" customHeight="1">
      <c r="C485" s="1"/>
      <c r="D485" s="1"/>
    </row>
    <row r="486" ht="14.25" customHeight="1">
      <c r="C486" s="1"/>
      <c r="D486" s="1"/>
    </row>
    <row r="487" ht="14.25" customHeight="1">
      <c r="C487" s="1"/>
      <c r="D487" s="1"/>
    </row>
    <row r="488" ht="14.25" customHeight="1">
      <c r="C488" s="1"/>
      <c r="D488" s="1"/>
    </row>
    <row r="489" ht="14.25" customHeight="1">
      <c r="C489" s="1"/>
      <c r="D489" s="1"/>
    </row>
    <row r="490" ht="14.25" customHeight="1">
      <c r="C490" s="1"/>
      <c r="D490" s="1"/>
    </row>
    <row r="491" ht="14.25" customHeight="1">
      <c r="C491" s="1"/>
      <c r="D491" s="1"/>
    </row>
    <row r="492" ht="14.25" customHeight="1">
      <c r="C492" s="1"/>
      <c r="D492" s="1"/>
    </row>
    <row r="493" ht="14.25" customHeight="1">
      <c r="C493" s="1"/>
      <c r="D493" s="1"/>
    </row>
    <row r="494" ht="14.25" customHeight="1">
      <c r="C494" s="1"/>
      <c r="D494" s="1"/>
    </row>
    <row r="495" ht="14.25" customHeight="1">
      <c r="C495" s="1"/>
      <c r="D495" s="1"/>
    </row>
    <row r="496" ht="14.25" customHeight="1">
      <c r="C496" s="1"/>
      <c r="D496" s="1"/>
    </row>
    <row r="497" ht="14.25" customHeight="1">
      <c r="C497" s="1"/>
      <c r="D497" s="1"/>
    </row>
    <row r="498" ht="14.25" customHeight="1">
      <c r="C498" s="1"/>
      <c r="D498" s="1"/>
    </row>
    <row r="499" ht="14.25" customHeight="1">
      <c r="C499" s="1"/>
      <c r="D499" s="1"/>
    </row>
    <row r="500" ht="14.25" customHeight="1">
      <c r="C500" s="1"/>
      <c r="D500" s="1"/>
    </row>
    <row r="501" ht="14.25" customHeight="1">
      <c r="C501" s="1"/>
      <c r="D501" s="1"/>
    </row>
    <row r="502" ht="14.25" customHeight="1">
      <c r="C502" s="1"/>
      <c r="D502" s="1"/>
    </row>
    <row r="503" ht="14.25" customHeight="1">
      <c r="C503" s="1"/>
      <c r="D503" s="1"/>
    </row>
    <row r="504" ht="14.25" customHeight="1">
      <c r="C504" s="1"/>
      <c r="D504" s="1"/>
    </row>
    <row r="505" ht="14.25" customHeight="1">
      <c r="C505" s="1"/>
      <c r="D505" s="1"/>
    </row>
    <row r="506" ht="14.25" customHeight="1">
      <c r="C506" s="1"/>
      <c r="D506" s="1"/>
    </row>
    <row r="507" ht="14.25" customHeight="1">
      <c r="C507" s="1"/>
      <c r="D507" s="1"/>
    </row>
    <row r="508" ht="14.25" customHeight="1">
      <c r="C508" s="1"/>
      <c r="D508" s="1"/>
    </row>
    <row r="509" ht="14.25" customHeight="1">
      <c r="C509" s="1"/>
      <c r="D509" s="1"/>
    </row>
    <row r="510" ht="14.25" customHeight="1">
      <c r="C510" s="1"/>
      <c r="D510" s="1"/>
    </row>
    <row r="511" ht="14.25" customHeight="1">
      <c r="C511" s="1"/>
      <c r="D511" s="1"/>
    </row>
    <row r="512" ht="14.25" customHeight="1">
      <c r="C512" s="1"/>
      <c r="D512" s="1"/>
    </row>
    <row r="513" ht="14.25" customHeight="1">
      <c r="C513" s="1"/>
      <c r="D513" s="1"/>
    </row>
    <row r="514" ht="14.25" customHeight="1">
      <c r="C514" s="1"/>
      <c r="D514" s="1"/>
    </row>
    <row r="515" ht="14.25" customHeight="1">
      <c r="C515" s="1"/>
      <c r="D515" s="1"/>
    </row>
    <row r="516" ht="14.25" customHeight="1">
      <c r="C516" s="1"/>
      <c r="D516" s="1"/>
    </row>
    <row r="517" ht="14.25" customHeight="1">
      <c r="C517" s="1"/>
      <c r="D517" s="1"/>
    </row>
    <row r="518" ht="14.25" customHeight="1">
      <c r="C518" s="1"/>
      <c r="D518" s="1"/>
    </row>
    <row r="519" ht="14.25" customHeight="1">
      <c r="C519" s="1"/>
      <c r="D519" s="1"/>
    </row>
    <row r="520" ht="14.25" customHeight="1">
      <c r="C520" s="1"/>
      <c r="D520" s="1"/>
    </row>
    <row r="521" ht="14.25" customHeight="1">
      <c r="C521" s="1"/>
      <c r="D521" s="1"/>
    </row>
    <row r="522" ht="14.25" customHeight="1">
      <c r="C522" s="1"/>
      <c r="D522" s="1"/>
    </row>
    <row r="523" ht="14.25" customHeight="1">
      <c r="C523" s="1"/>
      <c r="D523" s="1"/>
    </row>
    <row r="524" ht="14.25" customHeight="1">
      <c r="C524" s="1"/>
      <c r="D524" s="1"/>
    </row>
    <row r="525" ht="14.25" customHeight="1">
      <c r="C525" s="1"/>
      <c r="D525" s="1"/>
    </row>
    <row r="526" ht="14.25" customHeight="1">
      <c r="C526" s="1"/>
      <c r="D526" s="1"/>
    </row>
    <row r="527" ht="14.25" customHeight="1">
      <c r="C527" s="1"/>
      <c r="D527" s="1"/>
    </row>
    <row r="528" ht="14.25" customHeight="1">
      <c r="C528" s="1"/>
      <c r="D528" s="1"/>
    </row>
    <row r="529" ht="14.25" customHeight="1">
      <c r="C529" s="1"/>
      <c r="D529" s="1"/>
    </row>
    <row r="530" ht="14.25" customHeight="1">
      <c r="C530" s="1"/>
      <c r="D530" s="1"/>
    </row>
    <row r="531" ht="14.25" customHeight="1">
      <c r="C531" s="1"/>
      <c r="D531" s="1"/>
    </row>
    <row r="532" ht="14.25" customHeight="1">
      <c r="C532" s="1"/>
      <c r="D532" s="1"/>
    </row>
    <row r="533" ht="14.25" customHeight="1">
      <c r="C533" s="1"/>
      <c r="D533" s="1"/>
    </row>
    <row r="534" ht="14.25" customHeight="1">
      <c r="C534" s="1"/>
      <c r="D534" s="1"/>
    </row>
    <row r="535" ht="14.25" customHeight="1">
      <c r="C535" s="1"/>
      <c r="D535" s="1"/>
    </row>
    <row r="536" ht="14.25" customHeight="1">
      <c r="C536" s="1"/>
      <c r="D536" s="1"/>
    </row>
    <row r="537" ht="14.25" customHeight="1">
      <c r="C537" s="1"/>
      <c r="D537" s="1"/>
    </row>
    <row r="538" ht="14.25" customHeight="1">
      <c r="C538" s="1"/>
      <c r="D538" s="1"/>
    </row>
    <row r="539" ht="14.25" customHeight="1">
      <c r="C539" s="1"/>
      <c r="D539" s="1"/>
    </row>
    <row r="540" ht="14.25" customHeight="1">
      <c r="C540" s="1"/>
      <c r="D540" s="1"/>
    </row>
    <row r="541" ht="14.25" customHeight="1">
      <c r="C541" s="1"/>
      <c r="D541" s="1"/>
    </row>
    <row r="542" ht="14.25" customHeight="1">
      <c r="C542" s="1"/>
      <c r="D542" s="1"/>
    </row>
    <row r="543" ht="14.25" customHeight="1">
      <c r="C543" s="1"/>
      <c r="D543" s="1"/>
    </row>
    <row r="544" ht="14.25" customHeight="1">
      <c r="C544" s="1"/>
      <c r="D544" s="1"/>
    </row>
    <row r="545" ht="14.25" customHeight="1">
      <c r="C545" s="1"/>
      <c r="D545" s="1"/>
    </row>
    <row r="546" ht="14.25" customHeight="1">
      <c r="C546" s="1"/>
      <c r="D546" s="1"/>
    </row>
    <row r="547" ht="14.25" customHeight="1">
      <c r="C547" s="1"/>
      <c r="D547" s="1"/>
    </row>
    <row r="548" ht="14.25" customHeight="1">
      <c r="C548" s="1"/>
      <c r="D548" s="1"/>
    </row>
    <row r="549" ht="14.25" customHeight="1">
      <c r="C549" s="1"/>
      <c r="D549" s="1"/>
    </row>
    <row r="550" ht="14.25" customHeight="1">
      <c r="C550" s="1"/>
      <c r="D550" s="1"/>
    </row>
    <row r="551" ht="14.25" customHeight="1">
      <c r="C551" s="1"/>
      <c r="D551" s="1"/>
    </row>
    <row r="552" ht="14.25" customHeight="1">
      <c r="C552" s="1"/>
      <c r="D552" s="1"/>
    </row>
    <row r="553" ht="14.25" customHeight="1">
      <c r="C553" s="1"/>
      <c r="D553" s="1"/>
    </row>
    <row r="554" ht="14.25" customHeight="1">
      <c r="C554" s="1"/>
      <c r="D554" s="1"/>
    </row>
    <row r="555" ht="14.25" customHeight="1">
      <c r="C555" s="1"/>
      <c r="D555" s="1"/>
    </row>
    <row r="556" ht="14.25" customHeight="1">
      <c r="C556" s="1"/>
      <c r="D556" s="1"/>
    </row>
    <row r="557" ht="14.25" customHeight="1">
      <c r="C557" s="1"/>
      <c r="D557" s="1"/>
    </row>
    <row r="558" ht="14.25" customHeight="1">
      <c r="C558" s="1"/>
      <c r="D558" s="1"/>
    </row>
    <row r="559" ht="14.25" customHeight="1">
      <c r="C559" s="1"/>
      <c r="D559" s="1"/>
    </row>
    <row r="560" ht="14.25" customHeight="1">
      <c r="C560" s="1"/>
      <c r="D560" s="1"/>
    </row>
    <row r="561" ht="14.25" customHeight="1">
      <c r="C561" s="1"/>
      <c r="D561" s="1"/>
    </row>
    <row r="562" ht="14.25" customHeight="1">
      <c r="C562" s="1"/>
      <c r="D562" s="1"/>
    </row>
    <row r="563" ht="14.25" customHeight="1">
      <c r="C563" s="1"/>
      <c r="D563" s="1"/>
    </row>
    <row r="564" ht="14.25" customHeight="1">
      <c r="C564" s="1"/>
      <c r="D564" s="1"/>
    </row>
    <row r="565" ht="14.25" customHeight="1">
      <c r="C565" s="1"/>
      <c r="D565" s="1"/>
    </row>
    <row r="566" ht="14.25" customHeight="1">
      <c r="C566" s="1"/>
      <c r="D566" s="1"/>
    </row>
    <row r="567" ht="14.25" customHeight="1">
      <c r="C567" s="1"/>
      <c r="D567" s="1"/>
    </row>
    <row r="568" ht="14.25" customHeight="1">
      <c r="C568" s="1"/>
      <c r="D568" s="1"/>
    </row>
    <row r="569" ht="14.25" customHeight="1">
      <c r="C569" s="1"/>
      <c r="D569" s="1"/>
    </row>
    <row r="570" ht="14.25" customHeight="1">
      <c r="C570" s="1"/>
      <c r="D570" s="1"/>
    </row>
    <row r="571" ht="14.25" customHeight="1">
      <c r="C571" s="1"/>
      <c r="D571" s="1"/>
    </row>
    <row r="572" ht="14.25" customHeight="1">
      <c r="C572" s="1"/>
      <c r="D572" s="1"/>
    </row>
    <row r="573" ht="14.25" customHeight="1">
      <c r="C573" s="1"/>
      <c r="D573" s="1"/>
    </row>
    <row r="574" ht="14.25" customHeight="1">
      <c r="C574" s="1"/>
      <c r="D574" s="1"/>
    </row>
    <row r="575" ht="14.25" customHeight="1">
      <c r="C575" s="1"/>
      <c r="D575" s="1"/>
    </row>
    <row r="576" ht="14.25" customHeight="1">
      <c r="C576" s="1"/>
      <c r="D576" s="1"/>
    </row>
    <row r="577" ht="14.25" customHeight="1">
      <c r="C577" s="1"/>
      <c r="D577" s="1"/>
    </row>
    <row r="578" ht="14.25" customHeight="1">
      <c r="C578" s="1"/>
      <c r="D578" s="1"/>
    </row>
    <row r="579" ht="14.25" customHeight="1">
      <c r="C579" s="1"/>
      <c r="D579" s="1"/>
    </row>
    <row r="580" ht="14.25" customHeight="1">
      <c r="C580" s="1"/>
      <c r="D580" s="1"/>
    </row>
    <row r="581" ht="14.25" customHeight="1">
      <c r="C581" s="1"/>
      <c r="D581" s="1"/>
    </row>
    <row r="582" ht="14.25" customHeight="1">
      <c r="C582" s="1"/>
      <c r="D582" s="1"/>
    </row>
    <row r="583" ht="14.25" customHeight="1">
      <c r="C583" s="1"/>
      <c r="D583" s="1"/>
    </row>
    <row r="584" ht="14.25" customHeight="1">
      <c r="C584" s="1"/>
      <c r="D584" s="1"/>
    </row>
    <row r="585" ht="14.25" customHeight="1">
      <c r="C585" s="1"/>
      <c r="D585" s="1"/>
    </row>
    <row r="586" ht="14.25" customHeight="1">
      <c r="C586" s="1"/>
      <c r="D586" s="1"/>
    </row>
    <row r="587" ht="14.25" customHeight="1">
      <c r="C587" s="1"/>
      <c r="D587" s="1"/>
    </row>
    <row r="588" ht="14.25" customHeight="1">
      <c r="C588" s="1"/>
      <c r="D588" s="1"/>
    </row>
    <row r="589" ht="14.25" customHeight="1">
      <c r="C589" s="1"/>
      <c r="D589" s="1"/>
    </row>
    <row r="590" ht="14.25" customHeight="1">
      <c r="C590" s="1"/>
      <c r="D590" s="1"/>
    </row>
    <row r="591" ht="14.25" customHeight="1">
      <c r="C591" s="1"/>
      <c r="D591" s="1"/>
    </row>
    <row r="592" ht="14.25" customHeight="1">
      <c r="C592" s="1"/>
      <c r="D592" s="1"/>
    </row>
    <row r="593" ht="14.25" customHeight="1">
      <c r="C593" s="1"/>
      <c r="D593" s="1"/>
    </row>
    <row r="594" ht="14.25" customHeight="1">
      <c r="C594" s="1"/>
      <c r="D594" s="1"/>
    </row>
    <row r="595" ht="14.25" customHeight="1">
      <c r="C595" s="1"/>
      <c r="D595" s="1"/>
    </row>
    <row r="596" ht="14.25" customHeight="1">
      <c r="C596" s="1"/>
      <c r="D596" s="1"/>
    </row>
    <row r="597" ht="14.25" customHeight="1">
      <c r="C597" s="1"/>
      <c r="D597" s="1"/>
    </row>
    <row r="598" ht="14.25" customHeight="1">
      <c r="C598" s="1"/>
      <c r="D598" s="1"/>
    </row>
    <row r="599" ht="14.25" customHeight="1">
      <c r="C599" s="1"/>
      <c r="D599" s="1"/>
    </row>
    <row r="600" ht="14.25" customHeight="1">
      <c r="C600" s="1"/>
      <c r="D600" s="1"/>
    </row>
    <row r="601" ht="14.25" customHeight="1">
      <c r="C601" s="1"/>
      <c r="D601" s="1"/>
    </row>
    <row r="602" ht="14.25" customHeight="1">
      <c r="C602" s="1"/>
      <c r="D602" s="1"/>
    </row>
    <row r="603" ht="14.25" customHeight="1">
      <c r="C603" s="1"/>
      <c r="D603" s="1"/>
    </row>
    <row r="604" ht="14.25" customHeight="1">
      <c r="C604" s="1"/>
      <c r="D604" s="1"/>
    </row>
    <row r="605" ht="14.25" customHeight="1">
      <c r="C605" s="1"/>
      <c r="D605" s="1"/>
    </row>
    <row r="606" ht="14.25" customHeight="1">
      <c r="C606" s="1"/>
      <c r="D606" s="1"/>
    </row>
    <row r="607" ht="14.25" customHeight="1">
      <c r="C607" s="1"/>
      <c r="D607" s="1"/>
    </row>
    <row r="608" ht="14.25" customHeight="1">
      <c r="C608" s="1"/>
      <c r="D608" s="1"/>
    </row>
    <row r="609" ht="14.25" customHeight="1">
      <c r="C609" s="1"/>
      <c r="D609" s="1"/>
    </row>
    <row r="610" ht="14.25" customHeight="1">
      <c r="C610" s="1"/>
      <c r="D610" s="1"/>
    </row>
    <row r="611" ht="14.25" customHeight="1">
      <c r="C611" s="1"/>
      <c r="D611" s="1"/>
    </row>
    <row r="612" ht="14.25" customHeight="1">
      <c r="C612" s="1"/>
      <c r="D612" s="1"/>
    </row>
    <row r="613" ht="14.25" customHeight="1">
      <c r="C613" s="1"/>
      <c r="D613" s="1"/>
    </row>
    <row r="614" ht="14.25" customHeight="1">
      <c r="C614" s="1"/>
      <c r="D614" s="1"/>
    </row>
    <row r="615" ht="14.25" customHeight="1">
      <c r="C615" s="1"/>
      <c r="D615" s="1"/>
    </row>
    <row r="616" ht="14.25" customHeight="1">
      <c r="C616" s="1"/>
      <c r="D616" s="1"/>
    </row>
    <row r="617" ht="14.25" customHeight="1">
      <c r="C617" s="1"/>
      <c r="D617" s="1"/>
    </row>
    <row r="618" ht="14.25" customHeight="1">
      <c r="C618" s="1"/>
      <c r="D618" s="1"/>
    </row>
    <row r="619" ht="14.25" customHeight="1">
      <c r="C619" s="1"/>
      <c r="D619" s="1"/>
    </row>
    <row r="620" ht="14.25" customHeight="1">
      <c r="C620" s="1"/>
      <c r="D620" s="1"/>
    </row>
    <row r="621" ht="14.25" customHeight="1">
      <c r="C621" s="1"/>
      <c r="D621" s="1"/>
    </row>
    <row r="622" ht="14.25" customHeight="1">
      <c r="C622" s="1"/>
      <c r="D622" s="1"/>
    </row>
    <row r="623" ht="14.25" customHeight="1">
      <c r="C623" s="1"/>
      <c r="D623" s="1"/>
    </row>
    <row r="624" ht="14.25" customHeight="1">
      <c r="C624" s="1"/>
      <c r="D624" s="1"/>
    </row>
    <row r="625" ht="14.25" customHeight="1">
      <c r="C625" s="1"/>
      <c r="D625" s="1"/>
    </row>
    <row r="626" ht="14.25" customHeight="1">
      <c r="C626" s="1"/>
      <c r="D626" s="1"/>
    </row>
    <row r="627" ht="14.25" customHeight="1">
      <c r="C627" s="1"/>
      <c r="D627" s="1"/>
    </row>
    <row r="628" ht="14.25" customHeight="1">
      <c r="C628" s="1"/>
      <c r="D628" s="1"/>
    </row>
    <row r="629" ht="14.25" customHeight="1">
      <c r="C629" s="1"/>
      <c r="D629" s="1"/>
    </row>
    <row r="630" ht="14.25" customHeight="1">
      <c r="C630" s="1"/>
      <c r="D630" s="1"/>
    </row>
    <row r="631" ht="14.25" customHeight="1">
      <c r="C631" s="1"/>
      <c r="D631" s="1"/>
    </row>
    <row r="632" ht="14.25" customHeight="1">
      <c r="C632" s="1"/>
      <c r="D632" s="1"/>
    </row>
    <row r="633" ht="14.25" customHeight="1">
      <c r="C633" s="1"/>
      <c r="D633" s="1"/>
    </row>
    <row r="634" ht="14.25" customHeight="1">
      <c r="C634" s="1"/>
      <c r="D634" s="1"/>
    </row>
    <row r="635" ht="14.25" customHeight="1">
      <c r="C635" s="1"/>
      <c r="D635" s="1"/>
    </row>
    <row r="636" ht="14.25" customHeight="1">
      <c r="C636" s="1"/>
      <c r="D636" s="1"/>
    </row>
    <row r="637" ht="14.25" customHeight="1">
      <c r="C637" s="1"/>
      <c r="D637" s="1"/>
    </row>
    <row r="638" ht="14.25" customHeight="1">
      <c r="C638" s="1"/>
      <c r="D638" s="1"/>
    </row>
    <row r="639" ht="14.25" customHeight="1">
      <c r="C639" s="1"/>
      <c r="D639" s="1"/>
    </row>
    <row r="640" ht="14.25" customHeight="1">
      <c r="C640" s="1"/>
      <c r="D640" s="1"/>
    </row>
    <row r="641" ht="14.25" customHeight="1">
      <c r="C641" s="1"/>
      <c r="D641" s="1"/>
    </row>
    <row r="642" ht="14.25" customHeight="1">
      <c r="C642" s="1"/>
      <c r="D642" s="1"/>
    </row>
    <row r="643" ht="14.25" customHeight="1">
      <c r="C643" s="1"/>
      <c r="D643" s="1"/>
    </row>
    <row r="644" ht="14.25" customHeight="1">
      <c r="C644" s="1"/>
      <c r="D644" s="1"/>
    </row>
    <row r="645" ht="14.25" customHeight="1">
      <c r="C645" s="1"/>
      <c r="D645" s="1"/>
    </row>
    <row r="646" ht="14.25" customHeight="1">
      <c r="C646" s="1"/>
      <c r="D646" s="1"/>
    </row>
    <row r="647" ht="14.25" customHeight="1">
      <c r="C647" s="1"/>
      <c r="D647" s="1"/>
    </row>
    <row r="648" ht="14.25" customHeight="1">
      <c r="C648" s="1"/>
      <c r="D648" s="1"/>
    </row>
    <row r="649" ht="14.25" customHeight="1">
      <c r="C649" s="1"/>
      <c r="D649" s="1"/>
    </row>
    <row r="650" ht="14.25" customHeight="1">
      <c r="C650" s="1"/>
      <c r="D650" s="1"/>
    </row>
    <row r="651" ht="14.25" customHeight="1">
      <c r="C651" s="1"/>
      <c r="D651" s="1"/>
    </row>
    <row r="652" ht="14.25" customHeight="1">
      <c r="C652" s="1"/>
      <c r="D652" s="1"/>
    </row>
    <row r="653" ht="14.25" customHeight="1">
      <c r="C653" s="1"/>
      <c r="D653" s="1"/>
    </row>
    <row r="654" ht="14.25" customHeight="1">
      <c r="C654" s="1"/>
      <c r="D654" s="1"/>
    </row>
    <row r="655" ht="14.25" customHeight="1">
      <c r="C655" s="1"/>
      <c r="D655" s="1"/>
    </row>
    <row r="656" ht="14.25" customHeight="1">
      <c r="C656" s="1"/>
      <c r="D656" s="1"/>
    </row>
    <row r="657" ht="14.25" customHeight="1">
      <c r="C657" s="1"/>
      <c r="D657" s="1"/>
    </row>
    <row r="658" ht="14.25" customHeight="1">
      <c r="C658" s="1"/>
      <c r="D658" s="1"/>
    </row>
    <row r="659" ht="14.25" customHeight="1">
      <c r="C659" s="1"/>
      <c r="D659" s="1"/>
    </row>
    <row r="660" ht="14.25" customHeight="1">
      <c r="C660" s="1"/>
      <c r="D660" s="1"/>
    </row>
    <row r="661" ht="14.25" customHeight="1">
      <c r="C661" s="1"/>
      <c r="D661" s="1"/>
    </row>
    <row r="662" ht="14.25" customHeight="1">
      <c r="C662" s="1"/>
      <c r="D662" s="1"/>
    </row>
    <row r="663" ht="14.25" customHeight="1">
      <c r="C663" s="1"/>
      <c r="D663" s="1"/>
    </row>
    <row r="664" ht="14.25" customHeight="1">
      <c r="C664" s="1"/>
      <c r="D664" s="1"/>
    </row>
    <row r="665" ht="14.25" customHeight="1">
      <c r="C665" s="1"/>
      <c r="D665" s="1"/>
    </row>
    <row r="666" ht="14.25" customHeight="1">
      <c r="C666" s="1"/>
      <c r="D666" s="1"/>
    </row>
    <row r="667" ht="14.25" customHeight="1">
      <c r="C667" s="1"/>
      <c r="D667" s="1"/>
    </row>
    <row r="668" ht="14.25" customHeight="1">
      <c r="C668" s="1"/>
      <c r="D668" s="1"/>
    </row>
    <row r="669" ht="14.25" customHeight="1">
      <c r="C669" s="1"/>
      <c r="D669" s="1"/>
    </row>
    <row r="670" ht="14.25" customHeight="1">
      <c r="C670" s="1"/>
      <c r="D670" s="1"/>
    </row>
    <row r="671" ht="14.25" customHeight="1">
      <c r="C671" s="1"/>
      <c r="D671" s="1"/>
    </row>
    <row r="672" ht="14.25" customHeight="1">
      <c r="C672" s="1"/>
      <c r="D672" s="1"/>
    </row>
    <row r="673" ht="14.25" customHeight="1">
      <c r="C673" s="1"/>
      <c r="D673" s="1"/>
    </row>
    <row r="674" ht="14.25" customHeight="1">
      <c r="C674" s="1"/>
      <c r="D674" s="1"/>
    </row>
    <row r="675" ht="14.25" customHeight="1">
      <c r="C675" s="1"/>
      <c r="D675" s="1"/>
    </row>
    <row r="676" ht="14.25" customHeight="1">
      <c r="C676" s="1"/>
      <c r="D676" s="1"/>
    </row>
    <row r="677" ht="14.25" customHeight="1">
      <c r="C677" s="1"/>
      <c r="D677" s="1"/>
    </row>
    <row r="678" ht="14.25" customHeight="1">
      <c r="C678" s="1"/>
      <c r="D678" s="1"/>
    </row>
    <row r="679" ht="14.25" customHeight="1">
      <c r="C679" s="1"/>
      <c r="D679" s="1"/>
    </row>
    <row r="680" ht="14.25" customHeight="1">
      <c r="C680" s="1"/>
      <c r="D680" s="1"/>
    </row>
    <row r="681" ht="14.25" customHeight="1">
      <c r="C681" s="1"/>
      <c r="D681" s="1"/>
    </row>
    <row r="682" ht="14.25" customHeight="1">
      <c r="C682" s="1"/>
      <c r="D682" s="1"/>
    </row>
    <row r="683" ht="14.25" customHeight="1">
      <c r="C683" s="1"/>
      <c r="D683" s="1"/>
    </row>
    <row r="684" ht="14.25" customHeight="1">
      <c r="C684" s="1"/>
      <c r="D684" s="1"/>
    </row>
    <row r="685" ht="14.25" customHeight="1">
      <c r="C685" s="1"/>
      <c r="D685" s="1"/>
    </row>
    <row r="686" ht="14.25" customHeight="1">
      <c r="C686" s="1"/>
      <c r="D686" s="1"/>
    </row>
    <row r="687" ht="14.25" customHeight="1">
      <c r="C687" s="1"/>
      <c r="D687" s="1"/>
    </row>
    <row r="688" ht="14.25" customHeight="1">
      <c r="C688" s="1"/>
      <c r="D688" s="1"/>
    </row>
    <row r="689" ht="14.25" customHeight="1">
      <c r="C689" s="1"/>
      <c r="D689" s="1"/>
    </row>
    <row r="690" ht="14.25" customHeight="1">
      <c r="C690" s="1"/>
      <c r="D690" s="1"/>
    </row>
    <row r="691" ht="14.25" customHeight="1">
      <c r="C691" s="1"/>
      <c r="D691" s="1"/>
    </row>
    <row r="692" ht="14.25" customHeight="1">
      <c r="C692" s="1"/>
      <c r="D692" s="1"/>
    </row>
    <row r="693" ht="14.25" customHeight="1">
      <c r="C693" s="1"/>
      <c r="D693" s="1"/>
    </row>
    <row r="694" ht="14.25" customHeight="1">
      <c r="C694" s="1"/>
      <c r="D694" s="1"/>
    </row>
    <row r="695" ht="14.25" customHeight="1">
      <c r="C695" s="1"/>
      <c r="D695" s="1"/>
    </row>
    <row r="696" ht="14.25" customHeight="1">
      <c r="C696" s="1"/>
      <c r="D696" s="1"/>
    </row>
    <row r="697" ht="14.25" customHeight="1">
      <c r="C697" s="1"/>
      <c r="D697" s="1"/>
    </row>
    <row r="698" ht="14.25" customHeight="1">
      <c r="C698" s="1"/>
      <c r="D698" s="1"/>
    </row>
    <row r="699" ht="14.25" customHeight="1">
      <c r="C699" s="1"/>
      <c r="D699" s="1"/>
    </row>
    <row r="700" ht="14.25" customHeight="1">
      <c r="C700" s="1"/>
      <c r="D700" s="1"/>
    </row>
    <row r="701" ht="14.25" customHeight="1">
      <c r="C701" s="1"/>
      <c r="D701" s="1"/>
    </row>
    <row r="702" ht="14.25" customHeight="1">
      <c r="C702" s="1"/>
      <c r="D702" s="1"/>
    </row>
    <row r="703" ht="14.25" customHeight="1">
      <c r="C703" s="1"/>
      <c r="D703" s="1"/>
    </row>
    <row r="704" ht="14.25" customHeight="1">
      <c r="C704" s="1"/>
      <c r="D704" s="1"/>
    </row>
    <row r="705" ht="14.25" customHeight="1">
      <c r="C705" s="1"/>
      <c r="D705" s="1"/>
    </row>
    <row r="706" ht="14.25" customHeight="1">
      <c r="C706" s="1"/>
      <c r="D706" s="1"/>
    </row>
    <row r="707" ht="14.25" customHeight="1">
      <c r="C707" s="1"/>
      <c r="D707" s="1"/>
    </row>
    <row r="708" ht="14.25" customHeight="1">
      <c r="C708" s="1"/>
      <c r="D708" s="1"/>
    </row>
    <row r="709" ht="14.25" customHeight="1">
      <c r="C709" s="1"/>
      <c r="D709" s="1"/>
    </row>
    <row r="710" ht="14.25" customHeight="1">
      <c r="C710" s="1"/>
      <c r="D710" s="1"/>
    </row>
    <row r="711" ht="14.25" customHeight="1">
      <c r="C711" s="1"/>
      <c r="D711" s="1"/>
    </row>
    <row r="712" ht="14.25" customHeight="1">
      <c r="C712" s="1"/>
      <c r="D712" s="1"/>
    </row>
    <row r="713" ht="14.25" customHeight="1">
      <c r="C713" s="1"/>
      <c r="D713" s="1"/>
    </row>
    <row r="714" ht="14.25" customHeight="1">
      <c r="C714" s="1"/>
      <c r="D714" s="1"/>
    </row>
    <row r="715" ht="14.25" customHeight="1">
      <c r="C715" s="1"/>
      <c r="D715" s="1"/>
    </row>
    <row r="716" ht="14.25" customHeight="1">
      <c r="C716" s="1"/>
      <c r="D716" s="1"/>
    </row>
    <row r="717" ht="14.25" customHeight="1">
      <c r="C717" s="1"/>
      <c r="D717" s="1"/>
    </row>
    <row r="718" ht="14.25" customHeight="1">
      <c r="C718" s="1"/>
      <c r="D718" s="1"/>
    </row>
    <row r="719" ht="14.25" customHeight="1">
      <c r="C719" s="1"/>
      <c r="D719" s="1"/>
    </row>
    <row r="720" ht="14.25" customHeight="1">
      <c r="C720" s="1"/>
      <c r="D720" s="1"/>
    </row>
    <row r="721" ht="14.25" customHeight="1">
      <c r="C721" s="1"/>
      <c r="D721" s="1"/>
    </row>
    <row r="722" ht="14.25" customHeight="1">
      <c r="C722" s="1"/>
      <c r="D722" s="1"/>
    </row>
    <row r="723" ht="14.25" customHeight="1">
      <c r="C723" s="1"/>
      <c r="D723" s="1"/>
    </row>
    <row r="724" ht="14.25" customHeight="1">
      <c r="C724" s="1"/>
      <c r="D724" s="1"/>
    </row>
    <row r="725" ht="14.25" customHeight="1">
      <c r="C725" s="1"/>
      <c r="D725" s="1"/>
    </row>
    <row r="726" ht="14.25" customHeight="1">
      <c r="C726" s="1"/>
      <c r="D726" s="1"/>
    </row>
    <row r="727" ht="14.25" customHeight="1">
      <c r="C727" s="1"/>
      <c r="D727" s="1"/>
    </row>
    <row r="728" ht="14.25" customHeight="1">
      <c r="C728" s="1"/>
      <c r="D728" s="1"/>
    </row>
    <row r="729" ht="14.25" customHeight="1">
      <c r="C729" s="1"/>
      <c r="D729" s="1"/>
    </row>
    <row r="730" ht="14.25" customHeight="1">
      <c r="C730" s="1"/>
      <c r="D730" s="1"/>
    </row>
    <row r="731" ht="14.25" customHeight="1">
      <c r="C731" s="1"/>
      <c r="D731" s="1"/>
    </row>
    <row r="732" ht="14.25" customHeight="1">
      <c r="C732" s="1"/>
      <c r="D732" s="1"/>
    </row>
    <row r="733" ht="14.25" customHeight="1">
      <c r="C733" s="1"/>
      <c r="D733" s="1"/>
    </row>
    <row r="734" ht="14.25" customHeight="1">
      <c r="C734" s="1"/>
      <c r="D734" s="1"/>
    </row>
    <row r="735" ht="14.25" customHeight="1">
      <c r="C735" s="1"/>
      <c r="D735" s="1"/>
    </row>
    <row r="736" ht="14.25" customHeight="1">
      <c r="C736" s="1"/>
      <c r="D736" s="1"/>
    </row>
    <row r="737" ht="14.25" customHeight="1">
      <c r="C737" s="1"/>
      <c r="D737" s="1"/>
    </row>
    <row r="738" ht="14.25" customHeight="1">
      <c r="C738" s="1"/>
      <c r="D738" s="1"/>
    </row>
    <row r="739" ht="14.25" customHeight="1">
      <c r="C739" s="1"/>
      <c r="D739" s="1"/>
    </row>
    <row r="740" ht="14.25" customHeight="1">
      <c r="C740" s="1"/>
      <c r="D740" s="1"/>
    </row>
    <row r="741" ht="14.25" customHeight="1">
      <c r="C741" s="1"/>
      <c r="D741" s="1"/>
    </row>
    <row r="742" ht="14.25" customHeight="1">
      <c r="C742" s="1"/>
      <c r="D742" s="1"/>
    </row>
    <row r="743" ht="14.25" customHeight="1">
      <c r="C743" s="1"/>
      <c r="D743" s="1"/>
    </row>
    <row r="744" ht="14.25" customHeight="1">
      <c r="C744" s="1"/>
      <c r="D744" s="1"/>
    </row>
    <row r="745" ht="14.25" customHeight="1">
      <c r="C745" s="1"/>
      <c r="D745" s="1"/>
    </row>
    <row r="746" ht="14.25" customHeight="1">
      <c r="C746" s="1"/>
      <c r="D746" s="1"/>
    </row>
    <row r="747" ht="14.25" customHeight="1">
      <c r="C747" s="1"/>
      <c r="D747" s="1"/>
    </row>
    <row r="748" ht="14.25" customHeight="1">
      <c r="C748" s="1"/>
      <c r="D748" s="1"/>
    </row>
    <row r="749" ht="14.25" customHeight="1">
      <c r="C749" s="1"/>
      <c r="D749" s="1"/>
    </row>
    <row r="750" ht="14.25" customHeight="1">
      <c r="C750" s="1"/>
      <c r="D750" s="1"/>
    </row>
    <row r="751" ht="14.25" customHeight="1">
      <c r="C751" s="1"/>
      <c r="D751" s="1"/>
    </row>
    <row r="752" ht="14.25" customHeight="1">
      <c r="C752" s="1"/>
      <c r="D752" s="1"/>
    </row>
    <row r="753" ht="14.25" customHeight="1">
      <c r="C753" s="1"/>
      <c r="D753" s="1"/>
    </row>
    <row r="754" ht="14.25" customHeight="1">
      <c r="C754" s="1"/>
      <c r="D754" s="1"/>
    </row>
    <row r="755" ht="14.25" customHeight="1">
      <c r="C755" s="1"/>
      <c r="D755" s="1"/>
    </row>
    <row r="756" ht="14.25" customHeight="1">
      <c r="C756" s="1"/>
      <c r="D756" s="1"/>
    </row>
    <row r="757" ht="14.25" customHeight="1">
      <c r="C757" s="1"/>
      <c r="D757" s="1"/>
    </row>
    <row r="758" ht="14.25" customHeight="1">
      <c r="C758" s="1"/>
      <c r="D758" s="1"/>
    </row>
    <row r="759" ht="14.25" customHeight="1">
      <c r="C759" s="1"/>
      <c r="D759" s="1"/>
    </row>
    <row r="760" ht="14.25" customHeight="1">
      <c r="C760" s="1"/>
      <c r="D760" s="1"/>
    </row>
    <row r="761" ht="14.25" customHeight="1">
      <c r="C761" s="1"/>
      <c r="D761" s="1"/>
    </row>
    <row r="762" ht="14.25" customHeight="1">
      <c r="C762" s="1"/>
      <c r="D762" s="1"/>
    </row>
    <row r="763" ht="14.25" customHeight="1">
      <c r="C763" s="1"/>
      <c r="D763" s="1"/>
    </row>
    <row r="764" ht="14.25" customHeight="1">
      <c r="C764" s="1"/>
      <c r="D764" s="1"/>
    </row>
    <row r="765" ht="14.25" customHeight="1">
      <c r="C765" s="1"/>
      <c r="D765" s="1"/>
    </row>
    <row r="766" ht="14.25" customHeight="1">
      <c r="C766" s="1"/>
      <c r="D766" s="1"/>
    </row>
    <row r="767" ht="14.25" customHeight="1">
      <c r="C767" s="1"/>
      <c r="D767" s="1"/>
    </row>
    <row r="768" ht="14.25" customHeight="1">
      <c r="C768" s="1"/>
      <c r="D768" s="1"/>
    </row>
    <row r="769" ht="14.25" customHeight="1">
      <c r="C769" s="1"/>
      <c r="D769" s="1"/>
    </row>
    <row r="770" ht="14.25" customHeight="1">
      <c r="C770" s="1"/>
      <c r="D770" s="1"/>
    </row>
    <row r="771" ht="14.25" customHeight="1">
      <c r="C771" s="1"/>
      <c r="D771" s="1"/>
    </row>
    <row r="772" ht="14.25" customHeight="1">
      <c r="C772" s="1"/>
      <c r="D772" s="1"/>
    </row>
    <row r="773" ht="14.25" customHeight="1">
      <c r="C773" s="1"/>
      <c r="D773" s="1"/>
    </row>
    <row r="774" ht="14.25" customHeight="1">
      <c r="C774" s="1"/>
      <c r="D774" s="1"/>
    </row>
    <row r="775" ht="14.25" customHeight="1">
      <c r="C775" s="1"/>
      <c r="D775" s="1"/>
    </row>
    <row r="776" ht="14.25" customHeight="1">
      <c r="C776" s="1"/>
      <c r="D776" s="1"/>
    </row>
    <row r="777" ht="14.25" customHeight="1">
      <c r="C777" s="1"/>
      <c r="D777" s="1"/>
    </row>
    <row r="778" ht="14.25" customHeight="1">
      <c r="C778" s="1"/>
      <c r="D778" s="1"/>
    </row>
    <row r="779" ht="14.25" customHeight="1">
      <c r="C779" s="1"/>
      <c r="D779" s="1"/>
    </row>
    <row r="780" ht="14.25" customHeight="1">
      <c r="C780" s="1"/>
      <c r="D780" s="1"/>
    </row>
    <row r="781" ht="14.25" customHeight="1">
      <c r="C781" s="1"/>
      <c r="D781" s="1"/>
    </row>
    <row r="782" ht="14.25" customHeight="1">
      <c r="C782" s="1"/>
      <c r="D782" s="1"/>
    </row>
    <row r="783" ht="14.25" customHeight="1">
      <c r="C783" s="1"/>
      <c r="D783" s="1"/>
    </row>
    <row r="784" ht="14.25" customHeight="1">
      <c r="C784" s="1"/>
      <c r="D784" s="1"/>
    </row>
    <row r="785" ht="14.25" customHeight="1">
      <c r="C785" s="1"/>
      <c r="D785" s="1"/>
    </row>
    <row r="786" ht="14.25" customHeight="1">
      <c r="C786" s="1"/>
      <c r="D786" s="1"/>
    </row>
    <row r="787" ht="14.25" customHeight="1">
      <c r="C787" s="1"/>
      <c r="D787" s="1"/>
    </row>
    <row r="788" ht="14.25" customHeight="1">
      <c r="C788" s="1"/>
      <c r="D788" s="1"/>
    </row>
    <row r="789" ht="14.25" customHeight="1">
      <c r="C789" s="1"/>
      <c r="D789" s="1"/>
    </row>
    <row r="790" ht="14.25" customHeight="1">
      <c r="C790" s="1"/>
      <c r="D790" s="1"/>
    </row>
    <row r="791" ht="14.25" customHeight="1">
      <c r="C791" s="1"/>
      <c r="D791" s="1"/>
    </row>
    <row r="792" ht="14.25" customHeight="1">
      <c r="C792" s="1"/>
      <c r="D792" s="1"/>
    </row>
    <row r="793" ht="14.25" customHeight="1">
      <c r="C793" s="1"/>
      <c r="D793" s="1"/>
    </row>
    <row r="794" ht="14.25" customHeight="1">
      <c r="C794" s="1"/>
      <c r="D794" s="1"/>
    </row>
    <row r="795" ht="14.25" customHeight="1">
      <c r="C795" s="1"/>
      <c r="D795" s="1"/>
    </row>
    <row r="796" ht="14.25" customHeight="1">
      <c r="C796" s="1"/>
      <c r="D796" s="1"/>
    </row>
    <row r="797" ht="14.25" customHeight="1">
      <c r="C797" s="1"/>
      <c r="D797" s="1"/>
    </row>
    <row r="798" ht="14.25" customHeight="1">
      <c r="C798" s="1"/>
      <c r="D798" s="1"/>
    </row>
    <row r="799" ht="14.25" customHeight="1">
      <c r="C799" s="1"/>
      <c r="D799" s="1"/>
    </row>
    <row r="800" ht="14.25" customHeight="1">
      <c r="C800" s="1"/>
      <c r="D800" s="1"/>
    </row>
    <row r="801" ht="14.25" customHeight="1">
      <c r="C801" s="1"/>
      <c r="D801" s="1"/>
    </row>
    <row r="802" ht="14.25" customHeight="1">
      <c r="C802" s="1"/>
      <c r="D802" s="1"/>
    </row>
    <row r="803" ht="14.25" customHeight="1">
      <c r="C803" s="1"/>
      <c r="D803" s="1"/>
    </row>
    <row r="804" ht="14.25" customHeight="1">
      <c r="C804" s="1"/>
      <c r="D804" s="1"/>
    </row>
    <row r="805" ht="14.25" customHeight="1">
      <c r="C805" s="1"/>
      <c r="D805" s="1"/>
    </row>
    <row r="806" ht="14.25" customHeight="1">
      <c r="C806" s="1"/>
      <c r="D806" s="1"/>
    </row>
    <row r="807" ht="14.25" customHeight="1">
      <c r="C807" s="1"/>
      <c r="D807" s="1"/>
    </row>
    <row r="808" ht="14.25" customHeight="1">
      <c r="C808" s="1"/>
      <c r="D808" s="1"/>
    </row>
    <row r="809" ht="14.25" customHeight="1">
      <c r="C809" s="1"/>
      <c r="D809" s="1"/>
    </row>
    <row r="810" ht="14.25" customHeight="1">
      <c r="C810" s="1"/>
      <c r="D810" s="1"/>
    </row>
    <row r="811" ht="14.25" customHeight="1">
      <c r="C811" s="1"/>
      <c r="D811" s="1"/>
    </row>
    <row r="812" ht="14.25" customHeight="1">
      <c r="C812" s="1"/>
      <c r="D812" s="1"/>
    </row>
    <row r="813" ht="14.25" customHeight="1">
      <c r="C813" s="1"/>
      <c r="D813" s="1"/>
    </row>
    <row r="814" ht="14.25" customHeight="1">
      <c r="C814" s="1"/>
      <c r="D814" s="1"/>
    </row>
    <row r="815" ht="14.25" customHeight="1">
      <c r="C815" s="1"/>
      <c r="D815" s="1"/>
    </row>
    <row r="816" ht="14.25" customHeight="1">
      <c r="C816" s="1"/>
      <c r="D816" s="1"/>
    </row>
    <row r="817" ht="14.25" customHeight="1">
      <c r="C817" s="1"/>
      <c r="D817" s="1"/>
    </row>
    <row r="818" ht="14.25" customHeight="1">
      <c r="C818" s="1"/>
      <c r="D818" s="1"/>
    </row>
    <row r="819" ht="14.25" customHeight="1">
      <c r="C819" s="1"/>
      <c r="D819" s="1"/>
    </row>
    <row r="820" ht="14.25" customHeight="1">
      <c r="C820" s="1"/>
      <c r="D820" s="1"/>
    </row>
    <row r="821" ht="14.25" customHeight="1">
      <c r="C821" s="1"/>
      <c r="D821" s="1"/>
    </row>
    <row r="822" ht="14.25" customHeight="1">
      <c r="C822" s="1"/>
      <c r="D822" s="1"/>
    </row>
    <row r="823" ht="14.25" customHeight="1">
      <c r="C823" s="1"/>
      <c r="D823" s="1"/>
    </row>
    <row r="824" ht="14.25" customHeight="1">
      <c r="C824" s="1"/>
      <c r="D824" s="1"/>
    </row>
    <row r="825" ht="14.25" customHeight="1">
      <c r="C825" s="1"/>
      <c r="D825" s="1"/>
    </row>
    <row r="826" ht="14.25" customHeight="1">
      <c r="C826" s="1"/>
      <c r="D826" s="1"/>
    </row>
    <row r="827" ht="14.25" customHeight="1">
      <c r="C827" s="1"/>
      <c r="D827" s="1"/>
    </row>
    <row r="828" ht="14.25" customHeight="1">
      <c r="C828" s="1"/>
      <c r="D828" s="1"/>
    </row>
    <row r="829" ht="14.25" customHeight="1">
      <c r="C829" s="1"/>
      <c r="D829" s="1"/>
    </row>
    <row r="830" ht="14.25" customHeight="1">
      <c r="C830" s="1"/>
      <c r="D830" s="1"/>
    </row>
    <row r="831" ht="14.25" customHeight="1">
      <c r="C831" s="1"/>
      <c r="D831" s="1"/>
    </row>
    <row r="832" ht="14.25" customHeight="1">
      <c r="C832" s="1"/>
      <c r="D832" s="1"/>
    </row>
    <row r="833" ht="14.25" customHeight="1">
      <c r="C833" s="1"/>
      <c r="D833" s="1"/>
    </row>
    <row r="834" ht="14.25" customHeight="1">
      <c r="C834" s="1"/>
      <c r="D834" s="1"/>
    </row>
    <row r="835" ht="14.25" customHeight="1">
      <c r="C835" s="1"/>
      <c r="D835" s="1"/>
    </row>
    <row r="836" ht="14.25" customHeight="1">
      <c r="C836" s="1"/>
      <c r="D836" s="1"/>
    </row>
    <row r="837" ht="14.25" customHeight="1">
      <c r="C837" s="1"/>
      <c r="D837" s="1"/>
    </row>
    <row r="838" ht="14.25" customHeight="1">
      <c r="C838" s="1"/>
      <c r="D838" s="1"/>
    </row>
    <row r="839" ht="14.25" customHeight="1">
      <c r="C839" s="1"/>
      <c r="D839" s="1"/>
    </row>
    <row r="840" ht="14.25" customHeight="1">
      <c r="C840" s="1"/>
      <c r="D840" s="1"/>
    </row>
    <row r="841" ht="14.25" customHeight="1">
      <c r="C841" s="1"/>
      <c r="D841" s="1"/>
    </row>
    <row r="842" ht="14.25" customHeight="1">
      <c r="C842" s="1"/>
      <c r="D842" s="1"/>
    </row>
    <row r="843" ht="14.25" customHeight="1">
      <c r="C843" s="1"/>
      <c r="D843" s="1"/>
    </row>
    <row r="844" ht="14.25" customHeight="1">
      <c r="C844" s="1"/>
      <c r="D844" s="1"/>
    </row>
    <row r="845" ht="14.25" customHeight="1">
      <c r="C845" s="1"/>
      <c r="D845" s="1"/>
    </row>
    <row r="846" ht="14.25" customHeight="1">
      <c r="C846" s="1"/>
      <c r="D846" s="1"/>
    </row>
    <row r="847" ht="14.25" customHeight="1">
      <c r="C847" s="1"/>
      <c r="D847" s="1"/>
    </row>
    <row r="848" ht="14.25" customHeight="1">
      <c r="C848" s="1"/>
      <c r="D848" s="1"/>
    </row>
    <row r="849" ht="14.25" customHeight="1">
      <c r="C849" s="1"/>
      <c r="D849" s="1"/>
    </row>
    <row r="850" ht="14.25" customHeight="1">
      <c r="C850" s="1"/>
      <c r="D850" s="1"/>
    </row>
    <row r="851" ht="14.25" customHeight="1">
      <c r="C851" s="1"/>
      <c r="D851" s="1"/>
    </row>
    <row r="852" ht="14.25" customHeight="1">
      <c r="C852" s="1"/>
      <c r="D852" s="1"/>
    </row>
    <row r="853" ht="14.25" customHeight="1">
      <c r="C853" s="1"/>
      <c r="D853" s="1"/>
    </row>
    <row r="854" ht="14.25" customHeight="1">
      <c r="C854" s="1"/>
      <c r="D854" s="1"/>
    </row>
    <row r="855" ht="14.25" customHeight="1">
      <c r="C855" s="1"/>
      <c r="D855" s="1"/>
    </row>
    <row r="856" ht="14.25" customHeight="1">
      <c r="C856" s="1"/>
      <c r="D856" s="1"/>
    </row>
    <row r="857" ht="14.25" customHeight="1">
      <c r="C857" s="1"/>
      <c r="D857" s="1"/>
    </row>
    <row r="858" ht="14.25" customHeight="1">
      <c r="C858" s="1"/>
      <c r="D858" s="1"/>
    </row>
    <row r="859" ht="14.25" customHeight="1">
      <c r="C859" s="1"/>
      <c r="D859" s="1"/>
    </row>
    <row r="860" ht="14.25" customHeight="1">
      <c r="C860" s="1"/>
      <c r="D860" s="1"/>
    </row>
    <row r="861" ht="14.25" customHeight="1">
      <c r="C861" s="1"/>
      <c r="D861" s="1"/>
    </row>
    <row r="862" ht="14.25" customHeight="1">
      <c r="C862" s="1"/>
      <c r="D862" s="1"/>
    </row>
    <row r="863" ht="14.25" customHeight="1">
      <c r="C863" s="1"/>
      <c r="D863" s="1"/>
    </row>
    <row r="864" ht="14.25" customHeight="1">
      <c r="C864" s="1"/>
      <c r="D864" s="1"/>
    </row>
    <row r="865" ht="14.25" customHeight="1">
      <c r="C865" s="1"/>
      <c r="D865" s="1"/>
    </row>
    <row r="866" ht="14.25" customHeight="1">
      <c r="C866" s="1"/>
      <c r="D866" s="1"/>
    </row>
    <row r="867" ht="14.25" customHeight="1">
      <c r="C867" s="1"/>
      <c r="D867" s="1"/>
    </row>
    <row r="868" ht="14.25" customHeight="1">
      <c r="C868" s="1"/>
      <c r="D868" s="1"/>
    </row>
    <row r="869" ht="14.25" customHeight="1">
      <c r="C869" s="1"/>
      <c r="D869" s="1"/>
    </row>
    <row r="870" ht="14.25" customHeight="1">
      <c r="C870" s="1"/>
      <c r="D870" s="1"/>
    </row>
    <row r="871" ht="14.25" customHeight="1">
      <c r="C871" s="1"/>
      <c r="D871" s="1"/>
    </row>
    <row r="872" ht="14.25" customHeight="1">
      <c r="C872" s="1"/>
      <c r="D872" s="1"/>
    </row>
    <row r="873" ht="14.25" customHeight="1">
      <c r="C873" s="1"/>
      <c r="D873" s="1"/>
    </row>
    <row r="874" ht="14.25" customHeight="1">
      <c r="C874" s="1"/>
      <c r="D874" s="1"/>
    </row>
    <row r="875" ht="14.25" customHeight="1">
      <c r="C875" s="1"/>
      <c r="D875" s="1"/>
    </row>
    <row r="876" ht="14.25" customHeight="1">
      <c r="C876" s="1"/>
      <c r="D876" s="1"/>
    </row>
    <row r="877" ht="14.25" customHeight="1">
      <c r="C877" s="1"/>
      <c r="D877" s="1"/>
    </row>
    <row r="878" ht="14.25" customHeight="1">
      <c r="C878" s="1"/>
      <c r="D878" s="1"/>
    </row>
    <row r="879" ht="14.25" customHeight="1">
      <c r="C879" s="1"/>
      <c r="D879" s="1"/>
    </row>
    <row r="880" ht="14.25" customHeight="1">
      <c r="C880" s="1"/>
      <c r="D880" s="1"/>
    </row>
    <row r="881" ht="14.25" customHeight="1">
      <c r="C881" s="1"/>
      <c r="D881" s="1"/>
    </row>
    <row r="882" ht="14.25" customHeight="1">
      <c r="C882" s="1"/>
      <c r="D882" s="1"/>
    </row>
    <row r="883" ht="14.25" customHeight="1">
      <c r="C883" s="1"/>
      <c r="D883" s="1"/>
    </row>
    <row r="884" ht="14.25" customHeight="1">
      <c r="C884" s="1"/>
      <c r="D884" s="1"/>
    </row>
    <row r="885" ht="14.25" customHeight="1">
      <c r="C885" s="1"/>
      <c r="D885" s="1"/>
    </row>
    <row r="886" ht="14.25" customHeight="1">
      <c r="C886" s="1"/>
      <c r="D886" s="1"/>
    </row>
    <row r="887" ht="14.25" customHeight="1">
      <c r="C887" s="1"/>
      <c r="D887" s="1"/>
    </row>
    <row r="888" ht="14.25" customHeight="1">
      <c r="C888" s="1"/>
      <c r="D888" s="1"/>
    </row>
    <row r="889" ht="14.25" customHeight="1">
      <c r="C889" s="1"/>
      <c r="D889" s="1"/>
    </row>
    <row r="890" ht="14.25" customHeight="1">
      <c r="C890" s="1"/>
      <c r="D890" s="1"/>
    </row>
    <row r="891" ht="14.25" customHeight="1">
      <c r="C891" s="1"/>
      <c r="D891" s="1"/>
    </row>
    <row r="892" ht="14.25" customHeight="1">
      <c r="C892" s="1"/>
      <c r="D892" s="1"/>
    </row>
    <row r="893" ht="14.25" customHeight="1">
      <c r="C893" s="1"/>
      <c r="D893" s="1"/>
    </row>
    <row r="894" ht="14.25" customHeight="1">
      <c r="C894" s="1"/>
      <c r="D894" s="1"/>
    </row>
    <row r="895" ht="14.25" customHeight="1">
      <c r="C895" s="1"/>
      <c r="D895" s="1"/>
    </row>
    <row r="896" ht="14.25" customHeight="1">
      <c r="C896" s="1"/>
      <c r="D896" s="1"/>
    </row>
    <row r="897" ht="14.25" customHeight="1">
      <c r="C897" s="1"/>
      <c r="D897" s="1"/>
    </row>
    <row r="898" ht="14.25" customHeight="1">
      <c r="C898" s="1"/>
      <c r="D898" s="1"/>
    </row>
    <row r="899" ht="14.25" customHeight="1">
      <c r="C899" s="1"/>
      <c r="D899" s="1"/>
    </row>
    <row r="900" ht="14.25" customHeight="1">
      <c r="C900" s="1"/>
      <c r="D900" s="1"/>
    </row>
    <row r="901" ht="14.25" customHeight="1">
      <c r="C901" s="1"/>
      <c r="D901" s="1"/>
    </row>
    <row r="902" ht="14.25" customHeight="1">
      <c r="C902" s="1"/>
      <c r="D902" s="1"/>
    </row>
    <row r="903" ht="14.25" customHeight="1">
      <c r="C903" s="1"/>
      <c r="D903" s="1"/>
    </row>
    <row r="904" ht="14.25" customHeight="1">
      <c r="C904" s="1"/>
      <c r="D904" s="1"/>
    </row>
    <row r="905" ht="14.25" customHeight="1">
      <c r="C905" s="1"/>
      <c r="D905" s="1"/>
    </row>
    <row r="906" ht="14.25" customHeight="1">
      <c r="C906" s="1"/>
      <c r="D906" s="1"/>
    </row>
    <row r="907" ht="14.25" customHeight="1">
      <c r="C907" s="1"/>
      <c r="D907" s="1"/>
    </row>
    <row r="908" ht="14.25" customHeight="1">
      <c r="C908" s="1"/>
      <c r="D908" s="1"/>
    </row>
    <row r="909" ht="14.25" customHeight="1">
      <c r="C909" s="1"/>
      <c r="D909" s="1"/>
    </row>
    <row r="910" ht="14.25" customHeight="1">
      <c r="C910" s="1"/>
      <c r="D910" s="1"/>
    </row>
    <row r="911" ht="14.25" customHeight="1">
      <c r="C911" s="1"/>
      <c r="D911" s="1"/>
    </row>
    <row r="912" ht="14.25" customHeight="1">
      <c r="C912" s="1"/>
      <c r="D912" s="1"/>
    </row>
    <row r="913" ht="14.25" customHeight="1">
      <c r="C913" s="1"/>
      <c r="D913" s="1"/>
    </row>
    <row r="914" ht="14.25" customHeight="1">
      <c r="C914" s="1"/>
      <c r="D914" s="1"/>
    </row>
    <row r="915" ht="14.25" customHeight="1">
      <c r="C915" s="1"/>
      <c r="D915" s="1"/>
    </row>
    <row r="916" ht="14.25" customHeight="1">
      <c r="C916" s="1"/>
      <c r="D916" s="1"/>
    </row>
    <row r="917" ht="14.25" customHeight="1">
      <c r="C917" s="1"/>
      <c r="D917" s="1"/>
    </row>
    <row r="918" ht="14.25" customHeight="1">
      <c r="C918" s="1"/>
      <c r="D918" s="1"/>
    </row>
    <row r="919" ht="14.25" customHeight="1">
      <c r="C919" s="1"/>
      <c r="D919" s="1"/>
    </row>
    <row r="920" ht="14.25" customHeight="1">
      <c r="C920" s="1"/>
      <c r="D920" s="1"/>
    </row>
    <row r="921" ht="14.25" customHeight="1">
      <c r="C921" s="1"/>
      <c r="D921" s="1"/>
    </row>
    <row r="922" ht="14.25" customHeight="1">
      <c r="C922" s="1"/>
      <c r="D922" s="1"/>
    </row>
    <row r="923" ht="14.25" customHeight="1">
      <c r="C923" s="1"/>
      <c r="D923" s="1"/>
    </row>
    <row r="924" ht="14.25" customHeight="1">
      <c r="C924" s="1"/>
      <c r="D924" s="1"/>
    </row>
    <row r="925" ht="14.25" customHeight="1">
      <c r="C925" s="1"/>
      <c r="D925" s="1"/>
    </row>
    <row r="926" ht="14.25" customHeight="1">
      <c r="C926" s="1"/>
      <c r="D926" s="1"/>
    </row>
    <row r="927" ht="14.25" customHeight="1">
      <c r="C927" s="1"/>
      <c r="D927" s="1"/>
    </row>
    <row r="928" ht="14.25" customHeight="1">
      <c r="C928" s="1"/>
      <c r="D928" s="1"/>
    </row>
    <row r="929" ht="14.25" customHeight="1">
      <c r="C929" s="1"/>
      <c r="D929" s="1"/>
    </row>
    <row r="930" ht="14.25" customHeight="1">
      <c r="C930" s="1"/>
      <c r="D930" s="1"/>
    </row>
    <row r="931" ht="14.25" customHeight="1">
      <c r="C931" s="1"/>
      <c r="D931" s="1"/>
    </row>
    <row r="932" ht="14.25" customHeight="1">
      <c r="C932" s="1"/>
      <c r="D932" s="1"/>
    </row>
    <row r="933" ht="14.25" customHeight="1">
      <c r="C933" s="1"/>
      <c r="D933" s="1"/>
    </row>
    <row r="934" ht="14.25" customHeight="1">
      <c r="C934" s="1"/>
      <c r="D934" s="1"/>
    </row>
    <row r="935" ht="14.25" customHeight="1">
      <c r="C935" s="1"/>
      <c r="D935" s="1"/>
    </row>
    <row r="936" ht="14.25" customHeight="1">
      <c r="C936" s="1"/>
      <c r="D936" s="1"/>
    </row>
    <row r="937" ht="14.25" customHeight="1">
      <c r="C937" s="1"/>
      <c r="D937" s="1"/>
    </row>
    <row r="938" ht="14.25" customHeight="1">
      <c r="C938" s="1"/>
      <c r="D938" s="1"/>
    </row>
    <row r="939" ht="14.25" customHeight="1">
      <c r="C939" s="1"/>
      <c r="D939" s="1"/>
    </row>
    <row r="940" ht="14.25" customHeight="1">
      <c r="C940" s="1"/>
      <c r="D940" s="1"/>
    </row>
    <row r="941" ht="14.25" customHeight="1">
      <c r="C941" s="1"/>
      <c r="D941" s="1"/>
    </row>
    <row r="942" ht="14.25" customHeight="1">
      <c r="C942" s="1"/>
      <c r="D942" s="1"/>
    </row>
    <row r="943" ht="14.25" customHeight="1">
      <c r="C943" s="1"/>
      <c r="D943" s="1"/>
    </row>
    <row r="944" ht="14.25" customHeight="1">
      <c r="C944" s="1"/>
      <c r="D944" s="1"/>
    </row>
    <row r="945" ht="14.25" customHeight="1">
      <c r="C945" s="1"/>
      <c r="D945" s="1"/>
    </row>
    <row r="946" ht="14.25" customHeight="1">
      <c r="C946" s="1"/>
      <c r="D946" s="1"/>
    </row>
    <row r="947" ht="14.25" customHeight="1">
      <c r="C947" s="1"/>
      <c r="D947" s="1"/>
    </row>
    <row r="948" ht="14.25" customHeight="1">
      <c r="C948" s="1"/>
      <c r="D948" s="1"/>
    </row>
    <row r="949" ht="14.25" customHeight="1">
      <c r="C949" s="1"/>
      <c r="D949" s="1"/>
    </row>
    <row r="950" ht="14.25" customHeight="1">
      <c r="C950" s="1"/>
      <c r="D950" s="1"/>
    </row>
    <row r="951" ht="14.25" customHeight="1">
      <c r="C951" s="1"/>
      <c r="D951" s="1"/>
    </row>
    <row r="952" ht="14.25" customHeight="1">
      <c r="C952" s="1"/>
      <c r="D952" s="1"/>
    </row>
    <row r="953" ht="14.25" customHeight="1">
      <c r="C953" s="1"/>
      <c r="D953" s="1"/>
    </row>
    <row r="954" ht="14.25" customHeight="1">
      <c r="C954" s="1"/>
      <c r="D954" s="1"/>
    </row>
    <row r="955" ht="14.25" customHeight="1">
      <c r="C955" s="1"/>
      <c r="D955" s="1"/>
    </row>
    <row r="956" ht="14.25" customHeight="1">
      <c r="C956" s="1"/>
      <c r="D956" s="1"/>
    </row>
    <row r="957" ht="14.25" customHeight="1">
      <c r="C957" s="1"/>
      <c r="D957" s="1"/>
    </row>
    <row r="958" ht="14.25" customHeight="1">
      <c r="C958" s="1"/>
      <c r="D958" s="1"/>
    </row>
    <row r="959" ht="14.25" customHeight="1">
      <c r="C959" s="1"/>
      <c r="D959" s="1"/>
    </row>
    <row r="960" ht="14.25" customHeight="1">
      <c r="C960" s="1"/>
      <c r="D960" s="1"/>
    </row>
    <row r="961" ht="14.25" customHeight="1">
      <c r="C961" s="1"/>
      <c r="D961" s="1"/>
    </row>
    <row r="962" ht="14.25" customHeight="1">
      <c r="C962" s="1"/>
      <c r="D962" s="1"/>
    </row>
    <row r="963" ht="14.25" customHeight="1">
      <c r="C963" s="1"/>
      <c r="D963" s="1"/>
    </row>
    <row r="964" ht="14.25" customHeight="1">
      <c r="C964" s="1"/>
      <c r="D964" s="1"/>
    </row>
    <row r="965" ht="14.25" customHeight="1">
      <c r="C965" s="1"/>
      <c r="D965" s="1"/>
    </row>
    <row r="966" ht="14.25" customHeight="1">
      <c r="C966" s="1"/>
      <c r="D966" s="1"/>
    </row>
    <row r="967" ht="14.25" customHeight="1">
      <c r="C967" s="1"/>
      <c r="D967" s="1"/>
    </row>
    <row r="968" ht="14.25" customHeight="1">
      <c r="C968" s="1"/>
      <c r="D968" s="1"/>
    </row>
    <row r="969" ht="14.25" customHeight="1">
      <c r="C969" s="1"/>
      <c r="D969" s="1"/>
    </row>
    <row r="970" ht="14.25" customHeight="1">
      <c r="C970" s="1"/>
      <c r="D970" s="1"/>
    </row>
    <row r="971" ht="14.25" customHeight="1">
      <c r="C971" s="1"/>
      <c r="D971" s="1"/>
    </row>
    <row r="972" ht="14.25" customHeight="1">
      <c r="C972" s="1"/>
      <c r="D972" s="1"/>
    </row>
    <row r="973" ht="14.25" customHeight="1">
      <c r="C973" s="1"/>
      <c r="D973" s="1"/>
    </row>
    <row r="974" ht="14.25" customHeight="1">
      <c r="C974" s="1"/>
      <c r="D974" s="1"/>
    </row>
    <row r="975" ht="14.25" customHeight="1">
      <c r="C975" s="1"/>
      <c r="D975" s="1"/>
    </row>
    <row r="976" ht="14.25" customHeight="1">
      <c r="C976" s="1"/>
      <c r="D976" s="1"/>
    </row>
    <row r="977" ht="14.25" customHeight="1">
      <c r="C977" s="1"/>
      <c r="D977" s="1"/>
    </row>
    <row r="978" ht="14.25" customHeight="1">
      <c r="C978" s="1"/>
      <c r="D978" s="1"/>
    </row>
    <row r="979" ht="14.25" customHeight="1">
      <c r="C979" s="1"/>
      <c r="D979" s="1"/>
    </row>
    <row r="980" ht="14.25" customHeight="1">
      <c r="C980" s="1"/>
      <c r="D980" s="1"/>
    </row>
    <row r="981" ht="14.25" customHeight="1">
      <c r="C981" s="1"/>
      <c r="D981" s="1"/>
    </row>
    <row r="982" ht="14.25" customHeight="1">
      <c r="C982" s="1"/>
      <c r="D982" s="1"/>
    </row>
    <row r="983" ht="14.25" customHeight="1">
      <c r="C983" s="1"/>
      <c r="D983" s="1"/>
    </row>
    <row r="984" ht="14.25" customHeight="1">
      <c r="C984" s="1"/>
      <c r="D984" s="1"/>
    </row>
    <row r="985" ht="14.25" customHeight="1">
      <c r="C985" s="1"/>
      <c r="D985" s="1"/>
    </row>
    <row r="986" ht="14.25" customHeight="1">
      <c r="C986" s="1"/>
      <c r="D986" s="1"/>
    </row>
    <row r="987" ht="14.25" customHeight="1">
      <c r="C987" s="1"/>
      <c r="D987" s="1"/>
    </row>
    <row r="988" ht="14.25" customHeight="1">
      <c r="C988" s="1"/>
      <c r="D988" s="1"/>
    </row>
    <row r="989" ht="14.25" customHeight="1">
      <c r="C989" s="1"/>
      <c r="D989" s="1"/>
    </row>
    <row r="990" ht="14.25" customHeight="1">
      <c r="C990" s="1"/>
      <c r="D990" s="1"/>
    </row>
    <row r="991" ht="14.25" customHeight="1">
      <c r="C991" s="1"/>
      <c r="D991" s="1"/>
    </row>
    <row r="992" ht="14.25" customHeight="1">
      <c r="C992" s="1"/>
      <c r="D992" s="1"/>
    </row>
    <row r="993" ht="14.25" customHeight="1">
      <c r="C993" s="1"/>
      <c r="D993" s="1"/>
    </row>
    <row r="994" ht="14.25" customHeight="1">
      <c r="C994" s="1"/>
      <c r="D994" s="1"/>
    </row>
    <row r="995" ht="14.25" customHeight="1">
      <c r="C995" s="1"/>
      <c r="D995" s="1"/>
    </row>
    <row r="996" ht="14.25" customHeight="1">
      <c r="C996" s="1"/>
      <c r="D996" s="1"/>
    </row>
    <row r="997" ht="14.25" customHeight="1">
      <c r="C997" s="1"/>
      <c r="D997" s="1"/>
    </row>
    <row r="998" ht="14.25" customHeight="1">
      <c r="C998" s="1"/>
      <c r="D998" s="1"/>
    </row>
    <row r="999" ht="14.25" customHeight="1">
      <c r="C999" s="1"/>
      <c r="D999" s="1"/>
    </row>
    <row r="1000" ht="14.25" customHeight="1">
      <c r="C1000" s="1"/>
      <c r="D1000" s="1"/>
    </row>
  </sheetData>
  <printOptions/>
  <pageMargins bottom="0.75" footer="0.0" header="0.0" left="0.7" right="0.7" top="0.75"/>
  <pageSetup paperSize="9" orientation="portrait"/>
  <headerFooter>
    <oddFooter>&amp;L_x000D_#008542 INTERNA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4" width="32.57"/>
    <col customWidth="1" min="5" max="5" width="11.71"/>
    <col customWidth="1" min="6" max="6" width="16.29"/>
    <col customWidth="1" min="7" max="7" width="27.14"/>
    <col customWidth="1" min="8" max="8" width="22.57"/>
    <col customWidth="1" min="9" max="10" width="18.57"/>
    <col customWidth="1" min="11" max="12" width="14.71"/>
    <col customWidth="1" min="13" max="13" width="13.43"/>
    <col customWidth="1" min="14" max="15" width="15.43"/>
    <col customWidth="1" min="16" max="26" width="8.71"/>
  </cols>
  <sheetData>
    <row r="1" ht="14.25" customHeight="1">
      <c r="A1" s="6" t="s">
        <v>18</v>
      </c>
      <c r="B1" s="7" t="s">
        <v>19</v>
      </c>
      <c r="C1" s="7" t="s">
        <v>20</v>
      </c>
      <c r="D1" s="7" t="s">
        <v>3</v>
      </c>
      <c r="E1" s="6" t="s">
        <v>21</v>
      </c>
      <c r="F1" s="6" t="s">
        <v>22</v>
      </c>
      <c r="G1" s="6" t="s">
        <v>23</v>
      </c>
      <c r="H1" s="6" t="s">
        <v>24</v>
      </c>
      <c r="I1" s="6" t="s">
        <v>25</v>
      </c>
      <c r="J1" s="6" t="s">
        <v>26</v>
      </c>
      <c r="K1" s="6" t="s">
        <v>27</v>
      </c>
      <c r="L1" s="6" t="s">
        <v>28</v>
      </c>
      <c r="M1" s="6" t="s">
        <v>29</v>
      </c>
      <c r="N1" s="8" t="s">
        <v>30</v>
      </c>
      <c r="O1" s="6" t="s">
        <v>31</v>
      </c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ht="14.25" customHeight="1">
      <c r="A2" s="10">
        <v>41.0</v>
      </c>
      <c r="B2" s="11" t="s">
        <v>32</v>
      </c>
      <c r="C2" s="11" t="s">
        <v>33</v>
      </c>
      <c r="D2" s="11" t="s">
        <v>34</v>
      </c>
      <c r="E2" s="10" t="s">
        <v>35</v>
      </c>
      <c r="F2" s="10" t="s">
        <v>36</v>
      </c>
      <c r="G2" s="10" t="s">
        <v>37</v>
      </c>
      <c r="H2" s="10" t="s">
        <v>38</v>
      </c>
      <c r="I2" s="10">
        <v>2002.0</v>
      </c>
      <c r="J2" s="10">
        <f>LEFT(DB!$I2,2)+1</f>
        <v>21</v>
      </c>
      <c r="K2" s="10" t="s">
        <v>39</v>
      </c>
      <c r="L2" s="10" t="s">
        <v>40</v>
      </c>
      <c r="M2" s="10">
        <v>576.0</v>
      </c>
      <c r="N2" s="12">
        <v>44592.0</v>
      </c>
      <c r="O2" s="10">
        <v>3.5</v>
      </c>
    </row>
    <row r="3" ht="14.25" customHeight="1">
      <c r="A3" s="10">
        <v>42.0</v>
      </c>
      <c r="B3" s="11" t="s">
        <v>41</v>
      </c>
      <c r="C3" s="11" t="s">
        <v>42</v>
      </c>
      <c r="D3" s="11" t="s">
        <v>34</v>
      </c>
      <c r="E3" s="10" t="s">
        <v>43</v>
      </c>
      <c r="F3" s="10" t="s">
        <v>44</v>
      </c>
      <c r="G3" s="10" t="s">
        <v>45</v>
      </c>
      <c r="H3" s="10" t="s">
        <v>46</v>
      </c>
      <c r="I3" s="10">
        <v>2021.0</v>
      </c>
      <c r="J3" s="10">
        <f>LEFT(DB!$I3,2)+1</f>
        <v>21</v>
      </c>
      <c r="K3" s="10" t="s">
        <v>47</v>
      </c>
      <c r="L3" s="10" t="s">
        <v>40</v>
      </c>
      <c r="M3" s="10">
        <v>400.0</v>
      </c>
      <c r="N3" s="12">
        <v>44609.0</v>
      </c>
      <c r="O3" s="10">
        <v>3.5</v>
      </c>
    </row>
    <row r="4" ht="14.25" customHeight="1">
      <c r="A4" s="10">
        <v>43.0</v>
      </c>
      <c r="B4" s="11" t="s">
        <v>48</v>
      </c>
      <c r="C4" s="11" t="s">
        <v>33</v>
      </c>
      <c r="D4" s="11" t="s">
        <v>34</v>
      </c>
      <c r="E4" s="10" t="s">
        <v>49</v>
      </c>
      <c r="F4" s="10" t="s">
        <v>36</v>
      </c>
      <c r="G4" s="10" t="s">
        <v>50</v>
      </c>
      <c r="H4" s="10" t="s">
        <v>51</v>
      </c>
      <c r="I4" s="10">
        <v>1862.0</v>
      </c>
      <c r="J4" s="10">
        <f>LEFT(DB!$I4,2)+1</f>
        <v>19</v>
      </c>
      <c r="K4" s="10" t="s">
        <v>39</v>
      </c>
      <c r="L4" s="10" t="s">
        <v>40</v>
      </c>
      <c r="M4" s="10">
        <v>344.0</v>
      </c>
      <c r="N4" s="12">
        <v>44629.0</v>
      </c>
      <c r="O4" s="10">
        <v>4.0</v>
      </c>
    </row>
    <row r="5" ht="14.25" customHeight="1">
      <c r="A5" s="10">
        <v>44.0</v>
      </c>
      <c r="B5" s="11" t="s">
        <v>52</v>
      </c>
      <c r="C5" s="11" t="s">
        <v>53</v>
      </c>
      <c r="D5" s="11" t="s">
        <v>34</v>
      </c>
      <c r="E5" s="10" t="s">
        <v>54</v>
      </c>
      <c r="F5" s="10" t="s">
        <v>55</v>
      </c>
      <c r="G5" s="10" t="s">
        <v>56</v>
      </c>
      <c r="H5" s="10" t="s">
        <v>57</v>
      </c>
      <c r="I5" s="10">
        <v>2019.0</v>
      </c>
      <c r="J5" s="10">
        <f>LEFT(DB!$I5,2)+1</f>
        <v>21</v>
      </c>
      <c r="K5" s="10" t="s">
        <v>39</v>
      </c>
      <c r="L5" s="10" t="s">
        <v>40</v>
      </c>
      <c r="M5" s="10">
        <v>664.0</v>
      </c>
      <c r="N5" s="12">
        <v>44658.0</v>
      </c>
      <c r="O5" s="10">
        <v>2.5</v>
      </c>
    </row>
    <row r="6" ht="14.25" customHeight="1">
      <c r="A6" s="10">
        <v>45.0</v>
      </c>
      <c r="B6" s="11" t="s">
        <v>58</v>
      </c>
      <c r="C6" s="11" t="s">
        <v>33</v>
      </c>
      <c r="D6" s="11" t="s">
        <v>34</v>
      </c>
      <c r="E6" s="10" t="s">
        <v>59</v>
      </c>
      <c r="F6" s="10" t="s">
        <v>60</v>
      </c>
      <c r="G6" s="10" t="s">
        <v>61</v>
      </c>
      <c r="H6" s="10" t="s">
        <v>62</v>
      </c>
      <c r="I6" s="10">
        <v>2022.0</v>
      </c>
      <c r="J6" s="10">
        <f>LEFT(DB!$I6,2)+1</f>
        <v>21</v>
      </c>
      <c r="K6" s="10" t="s">
        <v>47</v>
      </c>
      <c r="L6" s="10" t="s">
        <v>40</v>
      </c>
      <c r="M6" s="10">
        <v>322.0</v>
      </c>
      <c r="N6" s="12">
        <v>44674.0</v>
      </c>
      <c r="O6" s="10">
        <v>4.0</v>
      </c>
    </row>
    <row r="7" ht="14.25" customHeight="1">
      <c r="A7" s="10">
        <v>46.0</v>
      </c>
      <c r="B7" s="11" t="s">
        <v>63</v>
      </c>
      <c r="C7" s="11" t="s">
        <v>64</v>
      </c>
      <c r="D7" s="11" t="s">
        <v>34</v>
      </c>
      <c r="E7" s="10" t="s">
        <v>59</v>
      </c>
      <c r="F7" s="10" t="s">
        <v>60</v>
      </c>
      <c r="G7" s="10" t="s">
        <v>65</v>
      </c>
      <c r="H7" s="10" t="s">
        <v>51</v>
      </c>
      <c r="I7" s="10">
        <v>2021.0</v>
      </c>
      <c r="J7" s="10">
        <f>LEFT(DB!$I7,2)+1</f>
        <v>21</v>
      </c>
      <c r="K7" s="10" t="s">
        <v>39</v>
      </c>
      <c r="L7" s="10" t="s">
        <v>40</v>
      </c>
      <c r="M7" s="10">
        <v>560.0</v>
      </c>
      <c r="N7" s="12">
        <v>44703.0</v>
      </c>
      <c r="O7" s="10">
        <v>5.0</v>
      </c>
    </row>
    <row r="8" ht="14.25" customHeight="1">
      <c r="A8" s="10">
        <v>47.0</v>
      </c>
      <c r="B8" s="11" t="s">
        <v>66</v>
      </c>
      <c r="C8" s="11" t="s">
        <v>33</v>
      </c>
      <c r="D8" s="11" t="s">
        <v>34</v>
      </c>
      <c r="E8" s="10" t="s">
        <v>54</v>
      </c>
      <c r="F8" s="10" t="s">
        <v>55</v>
      </c>
      <c r="G8" s="10" t="s">
        <v>67</v>
      </c>
      <c r="H8" s="10" t="s">
        <v>68</v>
      </c>
      <c r="I8" s="10">
        <v>2021.0</v>
      </c>
      <c r="J8" s="10">
        <f>LEFT(DB!$I8,2)+1</f>
        <v>21</v>
      </c>
      <c r="K8" s="10" t="s">
        <v>39</v>
      </c>
      <c r="L8" s="10" t="s">
        <v>40</v>
      </c>
      <c r="M8" s="10">
        <v>224.0</v>
      </c>
      <c r="N8" s="12">
        <v>44714.0</v>
      </c>
      <c r="O8" s="10">
        <v>4.0</v>
      </c>
    </row>
    <row r="9" ht="14.25" customHeight="1">
      <c r="A9" s="10">
        <v>48.0</v>
      </c>
      <c r="B9" s="11" t="s">
        <v>69</v>
      </c>
      <c r="C9" s="11" t="s">
        <v>33</v>
      </c>
      <c r="D9" s="11" t="s">
        <v>34</v>
      </c>
      <c r="E9" s="10" t="s">
        <v>70</v>
      </c>
      <c r="F9" s="10" t="s">
        <v>44</v>
      </c>
      <c r="G9" s="10" t="s">
        <v>71</v>
      </c>
      <c r="H9" s="10" t="s">
        <v>72</v>
      </c>
      <c r="I9" s="10">
        <v>2011.0</v>
      </c>
      <c r="J9" s="10">
        <f>LEFT(DB!$I9,2)+1</f>
        <v>21</v>
      </c>
      <c r="K9" s="10" t="s">
        <v>47</v>
      </c>
      <c r="L9" s="10" t="s">
        <v>73</v>
      </c>
      <c r="M9" s="10">
        <v>336.0</v>
      </c>
      <c r="N9" s="12">
        <v>44729.0</v>
      </c>
      <c r="O9" s="10">
        <v>3.5</v>
      </c>
    </row>
    <row r="10" ht="14.25" customHeight="1">
      <c r="A10" s="10">
        <v>49.0</v>
      </c>
      <c r="B10" s="11" t="s">
        <v>74</v>
      </c>
      <c r="C10" s="11" t="s">
        <v>33</v>
      </c>
      <c r="D10" s="11" t="s">
        <v>34</v>
      </c>
      <c r="E10" s="10" t="s">
        <v>75</v>
      </c>
      <c r="F10" s="10" t="s">
        <v>44</v>
      </c>
      <c r="G10" s="10" t="s">
        <v>76</v>
      </c>
      <c r="H10" s="10" t="s">
        <v>72</v>
      </c>
      <c r="I10" s="10">
        <v>2016.0</v>
      </c>
      <c r="J10" s="10">
        <f>LEFT(DB!$I10,2)+1</f>
        <v>21</v>
      </c>
      <c r="K10" s="10" t="s">
        <v>39</v>
      </c>
      <c r="L10" s="10" t="s">
        <v>40</v>
      </c>
      <c r="M10" s="10">
        <v>192.0</v>
      </c>
      <c r="N10" s="12">
        <v>44738.0</v>
      </c>
      <c r="O10" s="10">
        <v>3.5</v>
      </c>
    </row>
    <row r="11" ht="14.25" customHeight="1">
      <c r="A11" s="10">
        <v>50.0</v>
      </c>
      <c r="B11" s="11" t="s">
        <v>77</v>
      </c>
      <c r="C11" s="11" t="s">
        <v>33</v>
      </c>
      <c r="D11" s="11" t="s">
        <v>34</v>
      </c>
      <c r="E11" s="10" t="s">
        <v>78</v>
      </c>
      <c r="F11" s="10" t="s">
        <v>60</v>
      </c>
      <c r="G11" s="10" t="s">
        <v>79</v>
      </c>
      <c r="H11" s="10" t="s">
        <v>80</v>
      </c>
      <c r="I11" s="10">
        <v>1928.0</v>
      </c>
      <c r="J11" s="10">
        <f>LEFT(DB!$I11,2)+1</f>
        <v>20</v>
      </c>
      <c r="K11" s="10" t="s">
        <v>39</v>
      </c>
      <c r="L11" s="10" t="s">
        <v>40</v>
      </c>
      <c r="M11" s="10">
        <v>352.0</v>
      </c>
      <c r="N11" s="12">
        <v>44763.0</v>
      </c>
      <c r="O11" s="10">
        <v>4.0</v>
      </c>
    </row>
    <row r="12" ht="14.25" customHeight="1">
      <c r="A12" s="10">
        <v>51.0</v>
      </c>
      <c r="B12" s="11" t="s">
        <v>81</v>
      </c>
      <c r="C12" s="11" t="s">
        <v>82</v>
      </c>
      <c r="D12" s="11" t="s">
        <v>34</v>
      </c>
      <c r="E12" s="10" t="s">
        <v>75</v>
      </c>
      <c r="F12" s="10" t="s">
        <v>44</v>
      </c>
      <c r="G12" s="10" t="s">
        <v>83</v>
      </c>
      <c r="H12" s="10" t="s">
        <v>84</v>
      </c>
      <c r="I12" s="10">
        <v>1934.0</v>
      </c>
      <c r="J12" s="10">
        <f>LEFT(DB!$I12,2)+1</f>
        <v>20</v>
      </c>
      <c r="K12" s="10" t="s">
        <v>39</v>
      </c>
      <c r="L12" s="10" t="s">
        <v>40</v>
      </c>
      <c r="M12" s="10">
        <v>96.0</v>
      </c>
      <c r="N12" s="12">
        <v>44764.0</v>
      </c>
      <c r="O12" s="10">
        <v>4.5</v>
      </c>
    </row>
    <row r="13" ht="14.25" customHeight="1">
      <c r="A13" s="10">
        <v>52.0</v>
      </c>
      <c r="B13" s="11" t="s">
        <v>85</v>
      </c>
      <c r="C13" s="11" t="s">
        <v>33</v>
      </c>
      <c r="D13" s="11" t="s">
        <v>34</v>
      </c>
      <c r="E13" s="10" t="s">
        <v>78</v>
      </c>
      <c r="F13" s="10" t="s">
        <v>60</v>
      </c>
      <c r="G13" s="10" t="s">
        <v>86</v>
      </c>
      <c r="H13" s="10" t="s">
        <v>46</v>
      </c>
      <c r="I13" s="10">
        <v>2020.0</v>
      </c>
      <c r="J13" s="10">
        <f>LEFT(DB!$I13,2)+1</f>
        <v>21</v>
      </c>
      <c r="K13" s="10" t="s">
        <v>39</v>
      </c>
      <c r="L13" s="10" t="s">
        <v>40</v>
      </c>
      <c r="M13" s="10">
        <v>304.0</v>
      </c>
      <c r="N13" s="12">
        <v>44771.0</v>
      </c>
      <c r="O13" s="10">
        <v>4.5</v>
      </c>
    </row>
    <row r="14" ht="14.25" customHeight="1">
      <c r="A14" s="10">
        <v>53.0</v>
      </c>
      <c r="B14" s="11" t="s">
        <v>87</v>
      </c>
      <c r="C14" s="11" t="s">
        <v>33</v>
      </c>
      <c r="D14" s="11" t="s">
        <v>88</v>
      </c>
      <c r="E14" s="10" t="s">
        <v>75</v>
      </c>
      <c r="F14" s="10" t="s">
        <v>44</v>
      </c>
      <c r="G14" s="10" t="s">
        <v>83</v>
      </c>
      <c r="H14" s="10" t="s">
        <v>84</v>
      </c>
      <c r="I14" s="10">
        <v>1982.0</v>
      </c>
      <c r="J14" s="10">
        <f>LEFT(DB!$I14,2)+1</f>
        <v>20</v>
      </c>
      <c r="K14" s="10" t="s">
        <v>39</v>
      </c>
      <c r="L14" s="10" t="s">
        <v>40</v>
      </c>
      <c r="M14" s="10">
        <v>480.0</v>
      </c>
      <c r="N14" s="12">
        <v>44824.0</v>
      </c>
      <c r="O14" s="10">
        <v>5.0</v>
      </c>
    </row>
    <row r="15" ht="14.25" customHeight="1">
      <c r="A15" s="10">
        <v>54.0</v>
      </c>
      <c r="B15" s="11" t="s">
        <v>89</v>
      </c>
      <c r="C15" s="11" t="s">
        <v>90</v>
      </c>
      <c r="D15" s="11" t="s">
        <v>34</v>
      </c>
      <c r="E15" s="10" t="s">
        <v>91</v>
      </c>
      <c r="F15" s="10" t="s">
        <v>60</v>
      </c>
      <c r="G15" s="10" t="s">
        <v>92</v>
      </c>
      <c r="H15" s="10" t="s">
        <v>93</v>
      </c>
      <c r="I15" s="10">
        <v>2017.0</v>
      </c>
      <c r="J15" s="10">
        <f>LEFT(DB!$I15,2)+1</f>
        <v>21</v>
      </c>
      <c r="K15" s="10" t="s">
        <v>47</v>
      </c>
      <c r="L15" s="10" t="s">
        <v>40</v>
      </c>
      <c r="M15" s="10">
        <v>160.0</v>
      </c>
      <c r="N15" s="12">
        <v>44832.0</v>
      </c>
      <c r="O15" s="10">
        <v>3.5</v>
      </c>
    </row>
    <row r="16" ht="14.25" customHeight="1">
      <c r="A16" s="10">
        <v>55.0</v>
      </c>
      <c r="B16" s="11" t="s">
        <v>94</v>
      </c>
      <c r="C16" s="11" t="s">
        <v>33</v>
      </c>
      <c r="D16" s="11" t="s">
        <v>34</v>
      </c>
      <c r="E16" s="10" t="s">
        <v>78</v>
      </c>
      <c r="F16" s="10" t="s">
        <v>60</v>
      </c>
      <c r="G16" s="10" t="s">
        <v>95</v>
      </c>
      <c r="H16" s="10" t="s">
        <v>96</v>
      </c>
      <c r="I16" s="10">
        <v>2021.0</v>
      </c>
      <c r="J16" s="10">
        <f>LEFT(DB!$I16,2)+1</f>
        <v>21</v>
      </c>
      <c r="K16" s="10" t="s">
        <v>47</v>
      </c>
      <c r="L16" s="10" t="s">
        <v>40</v>
      </c>
      <c r="M16" s="10">
        <v>210.0</v>
      </c>
      <c r="N16" s="12">
        <v>44849.0</v>
      </c>
      <c r="O16" s="10">
        <v>4.5</v>
      </c>
    </row>
    <row r="17" ht="14.25" customHeight="1">
      <c r="A17" s="10">
        <v>56.0</v>
      </c>
      <c r="B17" s="11" t="s">
        <v>97</v>
      </c>
      <c r="C17" s="11" t="s">
        <v>33</v>
      </c>
      <c r="D17" s="11" t="s">
        <v>34</v>
      </c>
      <c r="E17" s="10" t="s">
        <v>98</v>
      </c>
      <c r="F17" s="10" t="s">
        <v>44</v>
      </c>
      <c r="G17" s="10" t="s">
        <v>99</v>
      </c>
      <c r="H17" s="10" t="s">
        <v>51</v>
      </c>
      <c r="I17" s="10">
        <v>2017.0</v>
      </c>
      <c r="J17" s="10">
        <f>LEFT(DB!$I17,2)+1</f>
        <v>21</v>
      </c>
      <c r="K17" s="10" t="s">
        <v>47</v>
      </c>
      <c r="L17" s="10" t="s">
        <v>40</v>
      </c>
      <c r="M17" s="10">
        <v>320.0</v>
      </c>
      <c r="N17" s="12">
        <v>44872.0</v>
      </c>
      <c r="O17" s="10">
        <v>3.5</v>
      </c>
    </row>
    <row r="18" ht="14.25" customHeight="1">
      <c r="A18" s="10">
        <v>57.0</v>
      </c>
      <c r="B18" s="11" t="s">
        <v>100</v>
      </c>
      <c r="C18" s="11" t="s">
        <v>33</v>
      </c>
      <c r="D18" s="11" t="s">
        <v>34</v>
      </c>
      <c r="E18" s="10" t="s">
        <v>75</v>
      </c>
      <c r="F18" s="10" t="s">
        <v>44</v>
      </c>
      <c r="G18" s="10" t="s">
        <v>76</v>
      </c>
      <c r="H18" s="10" t="s">
        <v>72</v>
      </c>
      <c r="I18" s="10">
        <v>2021.0</v>
      </c>
      <c r="J18" s="10">
        <f>LEFT(DB!$I18,2)+1</f>
        <v>21</v>
      </c>
      <c r="K18" s="10" t="s">
        <v>39</v>
      </c>
      <c r="L18" s="10" t="s">
        <v>40</v>
      </c>
      <c r="M18" s="10">
        <v>208.0</v>
      </c>
      <c r="N18" s="12">
        <v>44874.0</v>
      </c>
      <c r="O18" s="10">
        <v>4.5</v>
      </c>
    </row>
    <row r="19" ht="14.25" customHeight="1">
      <c r="A19" s="10">
        <v>58.0</v>
      </c>
      <c r="B19" s="11" t="s">
        <v>101</v>
      </c>
      <c r="C19" s="11" t="s">
        <v>73</v>
      </c>
      <c r="D19" s="11" t="s">
        <v>102</v>
      </c>
      <c r="E19" s="10" t="s">
        <v>78</v>
      </c>
      <c r="F19" s="10" t="s">
        <v>60</v>
      </c>
      <c r="G19" s="10" t="s">
        <v>103</v>
      </c>
      <c r="H19" s="10" t="s">
        <v>72</v>
      </c>
      <c r="I19" s="10">
        <v>2021.0</v>
      </c>
      <c r="J19" s="10">
        <f>LEFT(DB!$I19,2)+1</f>
        <v>21</v>
      </c>
      <c r="K19" s="10" t="s">
        <v>103</v>
      </c>
      <c r="L19" s="10" t="s">
        <v>103</v>
      </c>
      <c r="M19" s="10">
        <v>144.0</v>
      </c>
      <c r="N19" s="12">
        <v>44875.0</v>
      </c>
      <c r="O19" s="10">
        <v>4.0</v>
      </c>
    </row>
    <row r="20" ht="14.25" customHeight="1">
      <c r="A20" s="10">
        <v>59.0</v>
      </c>
      <c r="B20" s="11" t="s">
        <v>104</v>
      </c>
      <c r="C20" s="11" t="s">
        <v>105</v>
      </c>
      <c r="D20" s="11" t="s">
        <v>102</v>
      </c>
      <c r="E20" s="10" t="s">
        <v>70</v>
      </c>
      <c r="F20" s="10" t="s">
        <v>44</v>
      </c>
      <c r="G20" s="10" t="s">
        <v>106</v>
      </c>
      <c r="H20" s="10" t="s">
        <v>51</v>
      </c>
      <c r="I20" s="10">
        <v>1963.0</v>
      </c>
      <c r="J20" s="10">
        <f>LEFT(DB!$I20,2)+1</f>
        <v>20</v>
      </c>
      <c r="K20" s="10" t="s">
        <v>47</v>
      </c>
      <c r="L20" s="10" t="s">
        <v>40</v>
      </c>
      <c r="M20" s="10">
        <v>256.0</v>
      </c>
      <c r="N20" s="12">
        <v>44905.0</v>
      </c>
      <c r="O20" s="10">
        <v>4.5</v>
      </c>
    </row>
    <row r="21" ht="14.25" customHeight="1">
      <c r="A21" s="10">
        <v>60.0</v>
      </c>
      <c r="B21" s="11" t="s">
        <v>107</v>
      </c>
      <c r="C21" s="11" t="s">
        <v>33</v>
      </c>
      <c r="D21" s="11" t="s">
        <v>34</v>
      </c>
      <c r="E21" s="10" t="s">
        <v>108</v>
      </c>
      <c r="F21" s="10" t="s">
        <v>60</v>
      </c>
      <c r="G21" s="10" t="s">
        <v>109</v>
      </c>
      <c r="H21" s="10" t="s">
        <v>110</v>
      </c>
      <c r="I21" s="10">
        <v>1986.0</v>
      </c>
      <c r="J21" s="10">
        <f>LEFT(DB!$I21,2)+1</f>
        <v>20</v>
      </c>
      <c r="K21" s="10" t="s">
        <v>47</v>
      </c>
      <c r="L21" s="10" t="s">
        <v>111</v>
      </c>
      <c r="M21" s="10">
        <v>252.0</v>
      </c>
      <c r="N21" s="12">
        <v>44911.0</v>
      </c>
      <c r="O21" s="10">
        <v>4.5</v>
      </c>
    </row>
    <row r="22" ht="14.25" customHeight="1">
      <c r="A22" s="10">
        <v>61.0</v>
      </c>
      <c r="B22" s="11" t="s">
        <v>112</v>
      </c>
      <c r="C22" s="11" t="s">
        <v>113</v>
      </c>
      <c r="D22" s="11" t="s">
        <v>102</v>
      </c>
      <c r="E22" s="10" t="s">
        <v>78</v>
      </c>
      <c r="F22" s="10" t="s">
        <v>60</v>
      </c>
      <c r="G22" s="10" t="s">
        <v>114</v>
      </c>
      <c r="H22" s="10" t="s">
        <v>115</v>
      </c>
      <c r="I22" s="10">
        <v>1995.0</v>
      </c>
      <c r="J22" s="10">
        <f>LEFT(DB!$I22,2)+1</f>
        <v>20</v>
      </c>
      <c r="K22" s="10" t="s">
        <v>39</v>
      </c>
      <c r="L22" s="10" t="s">
        <v>40</v>
      </c>
      <c r="M22" s="10">
        <v>368.0</v>
      </c>
      <c r="N22" s="12">
        <v>44939.0</v>
      </c>
      <c r="O22" s="10">
        <v>5.0</v>
      </c>
    </row>
    <row r="23" ht="14.25" customHeight="1">
      <c r="A23" s="10">
        <v>62.0</v>
      </c>
      <c r="B23" s="11" t="s">
        <v>116</v>
      </c>
      <c r="C23" s="11" t="s">
        <v>117</v>
      </c>
      <c r="D23" s="11" t="s">
        <v>34</v>
      </c>
      <c r="E23" s="10" t="s">
        <v>78</v>
      </c>
      <c r="F23" s="10" t="s">
        <v>60</v>
      </c>
      <c r="G23" s="10" t="s">
        <v>118</v>
      </c>
      <c r="H23" s="10" t="s">
        <v>119</v>
      </c>
      <c r="I23" s="10">
        <v>2022.0</v>
      </c>
      <c r="J23" s="10">
        <f>LEFT(DB!$I23,2)+1</f>
        <v>21</v>
      </c>
      <c r="K23" s="10" t="s">
        <v>47</v>
      </c>
      <c r="L23" s="10" t="s">
        <v>40</v>
      </c>
      <c r="M23" s="10">
        <v>200.0</v>
      </c>
      <c r="N23" s="12">
        <v>45000.0</v>
      </c>
      <c r="O23" s="10">
        <v>3.5</v>
      </c>
    </row>
    <row r="24" ht="14.25" customHeight="1">
      <c r="A24" s="10">
        <v>63.0</v>
      </c>
      <c r="B24" s="11" t="s">
        <v>120</v>
      </c>
      <c r="C24" s="11" t="s">
        <v>33</v>
      </c>
      <c r="D24" s="11" t="s">
        <v>34</v>
      </c>
      <c r="E24" s="10" t="s">
        <v>59</v>
      </c>
      <c r="F24" s="10" t="s">
        <v>60</v>
      </c>
      <c r="G24" s="10" t="s">
        <v>65</v>
      </c>
      <c r="H24" s="10" t="s">
        <v>51</v>
      </c>
      <c r="I24" s="10">
        <v>2020.0</v>
      </c>
      <c r="J24" s="10">
        <f>LEFT(DB!$I24,2)+1</f>
        <v>21</v>
      </c>
      <c r="K24" s="10" t="s">
        <v>39</v>
      </c>
      <c r="L24" s="10" t="s">
        <v>40</v>
      </c>
      <c r="M24" s="10">
        <v>432.0</v>
      </c>
      <c r="N24" s="12">
        <v>45024.0</v>
      </c>
      <c r="O24" s="10">
        <v>5.0</v>
      </c>
    </row>
    <row r="25" ht="14.25" customHeight="1">
      <c r="A25" s="10">
        <v>64.0</v>
      </c>
      <c r="B25" s="11" t="s">
        <v>121</v>
      </c>
      <c r="C25" s="11" t="s">
        <v>33</v>
      </c>
      <c r="D25" s="11" t="s">
        <v>34</v>
      </c>
      <c r="E25" s="10" t="s">
        <v>122</v>
      </c>
      <c r="F25" s="10" t="s">
        <v>60</v>
      </c>
      <c r="G25" s="10" t="s">
        <v>123</v>
      </c>
      <c r="H25" s="10" t="s">
        <v>51</v>
      </c>
      <c r="I25" s="10">
        <v>1963.0</v>
      </c>
      <c r="J25" s="10">
        <f>LEFT(DB!$I25,2)+1</f>
        <v>20</v>
      </c>
      <c r="K25" s="10" t="s">
        <v>39</v>
      </c>
      <c r="L25" s="10" t="s">
        <v>40</v>
      </c>
      <c r="M25" s="10">
        <v>592.0</v>
      </c>
      <c r="N25" s="12">
        <v>45026.0</v>
      </c>
      <c r="O25" s="10">
        <v>4.0</v>
      </c>
    </row>
    <row r="26" ht="14.25" customHeight="1">
      <c r="A26" s="10">
        <v>65.0</v>
      </c>
      <c r="B26" s="11" t="s">
        <v>124</v>
      </c>
      <c r="C26" s="11" t="s">
        <v>82</v>
      </c>
      <c r="D26" s="11" t="s">
        <v>34</v>
      </c>
      <c r="E26" s="10" t="s">
        <v>125</v>
      </c>
      <c r="F26" s="10" t="s">
        <v>44</v>
      </c>
      <c r="G26" s="10" t="s">
        <v>126</v>
      </c>
      <c r="H26" s="10" t="s">
        <v>46</v>
      </c>
      <c r="I26" s="10">
        <v>1873.0</v>
      </c>
      <c r="J26" s="10">
        <f>LEFT(DB!$I26,2)+1</f>
        <v>19</v>
      </c>
      <c r="K26" s="10" t="s">
        <v>39</v>
      </c>
      <c r="L26" s="10" t="s">
        <v>40</v>
      </c>
      <c r="M26" s="10">
        <v>264.0</v>
      </c>
      <c r="N26" s="12">
        <v>45033.0</v>
      </c>
      <c r="O26" s="10">
        <v>3.5</v>
      </c>
    </row>
    <row r="27" ht="14.25" customHeight="1">
      <c r="A27" s="10">
        <v>66.0</v>
      </c>
      <c r="B27" s="11" t="s">
        <v>127</v>
      </c>
      <c r="C27" s="11" t="s">
        <v>82</v>
      </c>
      <c r="D27" s="11" t="s">
        <v>34</v>
      </c>
      <c r="E27" s="10" t="s">
        <v>59</v>
      </c>
      <c r="F27" s="10" t="s">
        <v>60</v>
      </c>
      <c r="G27" s="10" t="s">
        <v>128</v>
      </c>
      <c r="H27" s="10" t="s">
        <v>129</v>
      </c>
      <c r="I27" s="10">
        <v>1924.0</v>
      </c>
      <c r="J27" s="10">
        <f>LEFT(DB!$I27,2)+1</f>
        <v>20</v>
      </c>
      <c r="K27" s="10" t="s">
        <v>39</v>
      </c>
      <c r="L27" s="10" t="s">
        <v>40</v>
      </c>
      <c r="M27" s="10">
        <v>56.0</v>
      </c>
      <c r="N27" s="12">
        <v>45063.0</v>
      </c>
      <c r="O27" s="10">
        <v>3.5</v>
      </c>
    </row>
    <row r="28" ht="14.25" customHeight="1">
      <c r="A28" s="10">
        <v>67.0</v>
      </c>
      <c r="B28" s="11" t="s">
        <v>130</v>
      </c>
      <c r="C28" s="11" t="s">
        <v>33</v>
      </c>
      <c r="D28" s="11" t="s">
        <v>34</v>
      </c>
      <c r="E28" s="10" t="s">
        <v>54</v>
      </c>
      <c r="F28" s="10" t="s">
        <v>55</v>
      </c>
      <c r="G28" s="10" t="s">
        <v>131</v>
      </c>
      <c r="H28" s="10" t="s">
        <v>51</v>
      </c>
      <c r="I28" s="10">
        <v>2020.0</v>
      </c>
      <c r="J28" s="10">
        <f>LEFT(DB!$I28,2)+1</f>
        <v>21</v>
      </c>
      <c r="K28" s="10" t="s">
        <v>47</v>
      </c>
      <c r="L28" s="10" t="s">
        <v>111</v>
      </c>
      <c r="M28" s="10">
        <v>232.0</v>
      </c>
      <c r="N28" s="12">
        <v>45094.0</v>
      </c>
      <c r="O28" s="10">
        <v>4.0</v>
      </c>
    </row>
    <row r="29" ht="14.25" customHeight="1">
      <c r="A29" s="10">
        <v>68.0</v>
      </c>
      <c r="B29" s="11" t="s">
        <v>132</v>
      </c>
      <c r="C29" s="11" t="s">
        <v>42</v>
      </c>
      <c r="D29" s="11" t="s">
        <v>34</v>
      </c>
      <c r="E29" s="10" t="s">
        <v>133</v>
      </c>
      <c r="F29" s="10" t="s">
        <v>134</v>
      </c>
      <c r="G29" s="10" t="s">
        <v>135</v>
      </c>
      <c r="H29" s="10" t="s">
        <v>136</v>
      </c>
      <c r="I29" s="10">
        <v>1969.0</v>
      </c>
      <c r="J29" s="10">
        <f>LEFT(DB!$I29,2)+1</f>
        <v>20</v>
      </c>
      <c r="K29" s="10" t="s">
        <v>39</v>
      </c>
      <c r="L29" s="10" t="s">
        <v>40</v>
      </c>
      <c r="M29" s="10">
        <v>248.0</v>
      </c>
      <c r="N29" s="12">
        <v>45166.0</v>
      </c>
      <c r="O29" s="10">
        <v>3.5</v>
      </c>
    </row>
    <row r="30" ht="14.25" customHeight="1">
      <c r="A30" s="10">
        <v>69.0</v>
      </c>
      <c r="B30" s="11" t="s">
        <v>137</v>
      </c>
      <c r="C30" s="11" t="s">
        <v>82</v>
      </c>
      <c r="D30" s="11" t="s">
        <v>34</v>
      </c>
      <c r="E30" s="10" t="s">
        <v>78</v>
      </c>
      <c r="F30" s="10" t="s">
        <v>60</v>
      </c>
      <c r="G30" s="10" t="s">
        <v>138</v>
      </c>
      <c r="H30" s="10" t="s">
        <v>96</v>
      </c>
      <c r="I30" s="10">
        <v>1962.0</v>
      </c>
      <c r="J30" s="10">
        <f>LEFT(DB!$I30,2)+1</f>
        <v>20</v>
      </c>
      <c r="K30" s="10" t="s">
        <v>39</v>
      </c>
      <c r="L30" s="10" t="s">
        <v>40</v>
      </c>
      <c r="M30" s="10">
        <v>368.0</v>
      </c>
      <c r="N30" s="12">
        <v>45169.0</v>
      </c>
      <c r="O30" s="10">
        <v>4.0</v>
      </c>
    </row>
    <row r="31" ht="14.25" customHeight="1">
      <c r="A31" s="10">
        <v>70.0</v>
      </c>
      <c r="B31" s="11" t="s">
        <v>139</v>
      </c>
      <c r="C31" s="11" t="s">
        <v>33</v>
      </c>
      <c r="D31" s="11" t="s">
        <v>34</v>
      </c>
      <c r="E31" s="10" t="s">
        <v>54</v>
      </c>
      <c r="F31" s="10" t="s">
        <v>55</v>
      </c>
      <c r="G31" s="10" t="s">
        <v>140</v>
      </c>
      <c r="H31" s="10" t="s">
        <v>51</v>
      </c>
      <c r="I31" s="10">
        <v>1956.0</v>
      </c>
      <c r="J31" s="10">
        <f>LEFT(DB!$I31,2)+1</f>
        <v>20</v>
      </c>
      <c r="K31" s="10" t="s">
        <v>39</v>
      </c>
      <c r="L31" s="10" t="s">
        <v>111</v>
      </c>
      <c r="M31" s="10">
        <v>232.0</v>
      </c>
      <c r="N31" s="12">
        <v>45198.0</v>
      </c>
      <c r="O31" s="10">
        <v>4.5</v>
      </c>
    </row>
    <row r="32" ht="14.25" customHeight="1">
      <c r="A32" s="10">
        <v>71.0</v>
      </c>
      <c r="B32" s="11" t="s">
        <v>141</v>
      </c>
      <c r="C32" s="11" t="s">
        <v>33</v>
      </c>
      <c r="D32" s="11" t="s">
        <v>34</v>
      </c>
      <c r="E32" s="10" t="s">
        <v>54</v>
      </c>
      <c r="F32" s="10" t="s">
        <v>55</v>
      </c>
      <c r="G32" s="10" t="s">
        <v>142</v>
      </c>
      <c r="H32" s="10" t="s">
        <v>80</v>
      </c>
      <c r="I32" s="10">
        <v>1851.0</v>
      </c>
      <c r="J32" s="10">
        <f>LEFT(DB!$I32,2)+1</f>
        <v>19</v>
      </c>
      <c r="K32" s="10" t="s">
        <v>39</v>
      </c>
      <c r="L32" s="10" t="s">
        <v>40</v>
      </c>
      <c r="M32" s="10">
        <v>752.0</v>
      </c>
      <c r="N32" s="12">
        <v>45212.0</v>
      </c>
      <c r="O32" s="10">
        <v>5.0</v>
      </c>
    </row>
    <row r="33" ht="14.25" customHeight="1">
      <c r="A33" s="10">
        <v>72.0</v>
      </c>
      <c r="B33" s="11" t="s">
        <v>143</v>
      </c>
      <c r="C33" s="11" t="s">
        <v>105</v>
      </c>
      <c r="D33" s="11" t="s">
        <v>102</v>
      </c>
      <c r="E33" s="10" t="s">
        <v>78</v>
      </c>
      <c r="F33" s="10" t="s">
        <v>60</v>
      </c>
      <c r="G33" s="10" t="s">
        <v>144</v>
      </c>
      <c r="H33" s="10" t="s">
        <v>93</v>
      </c>
      <c r="I33" s="10">
        <v>2023.0</v>
      </c>
      <c r="J33" s="10">
        <f>LEFT(DB!$I33,2)+1</f>
        <v>21</v>
      </c>
      <c r="K33" s="10" t="s">
        <v>39</v>
      </c>
      <c r="L33" s="10" t="s">
        <v>40</v>
      </c>
      <c r="M33" s="10">
        <v>192.0</v>
      </c>
      <c r="N33" s="12">
        <v>45215.0</v>
      </c>
      <c r="O33" s="10">
        <v>3.5</v>
      </c>
    </row>
    <row r="34" ht="14.25" customHeight="1">
      <c r="A34" s="10">
        <v>73.0</v>
      </c>
      <c r="B34" s="11" t="s">
        <v>145</v>
      </c>
      <c r="C34" s="11" t="s">
        <v>146</v>
      </c>
      <c r="D34" s="11" t="s">
        <v>34</v>
      </c>
      <c r="E34" s="10" t="s">
        <v>147</v>
      </c>
      <c r="F34" s="10" t="s">
        <v>44</v>
      </c>
      <c r="G34" s="10" t="s">
        <v>148</v>
      </c>
      <c r="H34" s="10" t="s">
        <v>46</v>
      </c>
      <c r="I34" s="10">
        <v>2019.0</v>
      </c>
      <c r="J34" s="10">
        <f>LEFT(DB!$I34,2)+1</f>
        <v>21</v>
      </c>
      <c r="K34" s="10" t="s">
        <v>39</v>
      </c>
      <c r="L34" s="10" t="s">
        <v>40</v>
      </c>
      <c r="M34" s="10">
        <v>176.0</v>
      </c>
      <c r="N34" s="12">
        <v>45221.0</v>
      </c>
      <c r="O34" s="10">
        <v>2.5</v>
      </c>
    </row>
    <row r="35" ht="14.25" customHeight="1">
      <c r="A35" s="10">
        <v>74.0</v>
      </c>
      <c r="B35" s="11" t="s">
        <v>149</v>
      </c>
      <c r="C35" s="11" t="s">
        <v>33</v>
      </c>
      <c r="D35" s="11" t="s">
        <v>34</v>
      </c>
      <c r="E35" s="10" t="s">
        <v>54</v>
      </c>
      <c r="F35" s="10" t="s">
        <v>55</v>
      </c>
      <c r="G35" s="10" t="s">
        <v>150</v>
      </c>
      <c r="H35" s="10" t="s">
        <v>46</v>
      </c>
      <c r="I35" s="10">
        <v>2018.0</v>
      </c>
      <c r="J35" s="10">
        <f>LEFT(DB!$I35,2)+1</f>
        <v>21</v>
      </c>
      <c r="K35" s="10" t="s">
        <v>47</v>
      </c>
      <c r="L35" s="10" t="s">
        <v>40</v>
      </c>
      <c r="M35" s="10">
        <v>240.0</v>
      </c>
      <c r="N35" s="12">
        <v>45225.0</v>
      </c>
      <c r="O35" s="10">
        <v>4.5</v>
      </c>
    </row>
    <row r="36" ht="14.25" customHeight="1">
      <c r="A36" s="10">
        <v>75.0</v>
      </c>
      <c r="B36" s="11" t="s">
        <v>151</v>
      </c>
      <c r="C36" s="11" t="s">
        <v>33</v>
      </c>
      <c r="D36" s="11" t="s">
        <v>34</v>
      </c>
      <c r="E36" s="10" t="s">
        <v>125</v>
      </c>
      <c r="F36" s="10" t="s">
        <v>44</v>
      </c>
      <c r="G36" s="10" t="s">
        <v>152</v>
      </c>
      <c r="H36" s="10" t="s">
        <v>46</v>
      </c>
      <c r="I36" s="10">
        <v>1975.0</v>
      </c>
      <c r="J36" s="10">
        <f>LEFT(DB!$I36,2)+1</f>
        <v>20</v>
      </c>
      <c r="K36" s="10" t="s">
        <v>39</v>
      </c>
      <c r="L36" s="10" t="s">
        <v>40</v>
      </c>
      <c r="M36" s="10">
        <v>192.0</v>
      </c>
      <c r="N36" s="12">
        <v>45240.0</v>
      </c>
      <c r="O36" s="10">
        <v>3.5</v>
      </c>
    </row>
    <row r="37" ht="14.25" customHeight="1">
      <c r="A37" s="10">
        <v>76.0</v>
      </c>
      <c r="B37" s="11" t="s">
        <v>153</v>
      </c>
      <c r="C37" s="11" t="s">
        <v>105</v>
      </c>
      <c r="D37" s="11" t="s">
        <v>102</v>
      </c>
      <c r="E37" s="10" t="s">
        <v>125</v>
      </c>
      <c r="F37" s="10" t="s">
        <v>44</v>
      </c>
      <c r="G37" s="10" t="s">
        <v>154</v>
      </c>
      <c r="H37" s="10" t="s">
        <v>155</v>
      </c>
      <c r="I37" s="10">
        <v>1983.0</v>
      </c>
      <c r="J37" s="10">
        <f>LEFT(DB!$I37,2)+1</f>
        <v>20</v>
      </c>
      <c r="K37" s="10" t="s">
        <v>47</v>
      </c>
      <c r="L37" s="10" t="s">
        <v>40</v>
      </c>
      <c r="M37" s="10">
        <v>72.0</v>
      </c>
      <c r="N37" s="12">
        <v>45243.0</v>
      </c>
      <c r="O37" s="10">
        <v>4.5</v>
      </c>
    </row>
    <row r="38" ht="14.25" customHeight="1">
      <c r="A38" s="10">
        <v>77.0</v>
      </c>
      <c r="B38" s="11" t="s">
        <v>156</v>
      </c>
      <c r="C38" s="11" t="s">
        <v>33</v>
      </c>
      <c r="D38" s="11" t="s">
        <v>34</v>
      </c>
      <c r="E38" s="10" t="s">
        <v>157</v>
      </c>
      <c r="F38" s="10" t="s">
        <v>44</v>
      </c>
      <c r="G38" s="10" t="s">
        <v>158</v>
      </c>
      <c r="H38" s="10" t="s">
        <v>155</v>
      </c>
      <c r="I38" s="10">
        <v>2023.0</v>
      </c>
      <c r="J38" s="10">
        <f>LEFT(DB!$I38,2)+1</f>
        <v>21</v>
      </c>
      <c r="K38" s="10" t="s">
        <v>39</v>
      </c>
      <c r="L38" s="10" t="s">
        <v>40</v>
      </c>
      <c r="M38" s="10">
        <v>64.0</v>
      </c>
      <c r="N38" s="12">
        <v>45245.0</v>
      </c>
      <c r="O38" s="10">
        <v>3.5</v>
      </c>
    </row>
    <row r="39" ht="14.25" customHeight="1">
      <c r="A39" s="10">
        <v>78.0</v>
      </c>
      <c r="B39" s="11" t="s">
        <v>159</v>
      </c>
      <c r="C39" s="11" t="s">
        <v>33</v>
      </c>
      <c r="D39" s="11" t="s">
        <v>34</v>
      </c>
      <c r="E39" s="10" t="s">
        <v>78</v>
      </c>
      <c r="F39" s="10" t="s">
        <v>60</v>
      </c>
      <c r="G39" s="10" t="s">
        <v>160</v>
      </c>
      <c r="H39" s="10" t="s">
        <v>51</v>
      </c>
      <c r="I39" s="10">
        <v>1954.0</v>
      </c>
      <c r="J39" s="10">
        <f>LEFT(DB!$I39,2)+1</f>
        <v>20</v>
      </c>
      <c r="K39" s="10" t="s">
        <v>47</v>
      </c>
      <c r="L39" s="10" t="s">
        <v>40</v>
      </c>
      <c r="M39" s="10">
        <v>224.0</v>
      </c>
      <c r="N39" s="12">
        <v>45264.0</v>
      </c>
      <c r="O39" s="10">
        <v>4.5</v>
      </c>
    </row>
    <row r="40" ht="14.25" customHeight="1">
      <c r="B40" s="13"/>
      <c r="C40" s="13"/>
      <c r="D40" s="13"/>
      <c r="N40" s="14"/>
    </row>
    <row r="41" ht="14.25" customHeight="1">
      <c r="B41" s="13"/>
      <c r="C41" s="13"/>
      <c r="D41" s="13"/>
      <c r="N41" s="14"/>
    </row>
    <row r="42" ht="14.25" customHeight="1">
      <c r="B42" s="13"/>
      <c r="C42" s="13"/>
      <c r="D42" s="13"/>
      <c r="N42" s="14"/>
    </row>
    <row r="43" ht="14.25" customHeight="1">
      <c r="B43" s="13"/>
      <c r="C43" s="13"/>
      <c r="D43" s="13"/>
      <c r="N43" s="14"/>
    </row>
    <row r="44" ht="14.25" customHeight="1">
      <c r="B44" s="13"/>
      <c r="C44" s="13"/>
      <c r="D44" s="13"/>
      <c r="N44" s="14"/>
    </row>
    <row r="45" ht="14.25" customHeight="1">
      <c r="B45" s="13"/>
      <c r="C45" s="13"/>
      <c r="D45" s="13"/>
      <c r="N45" s="14"/>
    </row>
    <row r="46" ht="14.25" customHeight="1">
      <c r="B46" s="13"/>
      <c r="C46" s="13"/>
      <c r="D46" s="13"/>
      <c r="N46" s="14"/>
    </row>
    <row r="47" ht="14.25" customHeight="1">
      <c r="B47" s="13"/>
      <c r="C47" s="13"/>
      <c r="D47" s="13"/>
      <c r="N47" s="14"/>
    </row>
    <row r="48" ht="14.25" customHeight="1">
      <c r="B48" s="13"/>
      <c r="C48" s="13"/>
      <c r="D48" s="13"/>
      <c r="N48" s="14"/>
    </row>
    <row r="49" ht="14.25" customHeight="1">
      <c r="B49" s="13"/>
      <c r="C49" s="13"/>
      <c r="D49" s="13"/>
      <c r="N49" s="14"/>
    </row>
    <row r="50" ht="14.25" customHeight="1">
      <c r="B50" s="13"/>
      <c r="C50" s="13"/>
      <c r="D50" s="13"/>
      <c r="N50" s="14"/>
    </row>
    <row r="51" ht="14.25" customHeight="1">
      <c r="B51" s="13"/>
      <c r="C51" s="13"/>
      <c r="D51" s="13"/>
      <c r="N51" s="14"/>
    </row>
    <row r="52" ht="14.25" customHeight="1">
      <c r="B52" s="13"/>
      <c r="C52" s="13"/>
      <c r="D52" s="13"/>
      <c r="N52" s="14"/>
    </row>
    <row r="53" ht="14.25" customHeight="1">
      <c r="B53" s="13"/>
      <c r="C53" s="13"/>
      <c r="D53" s="13"/>
      <c r="N53" s="14"/>
    </row>
    <row r="54" ht="14.25" customHeight="1">
      <c r="B54" s="13"/>
      <c r="C54" s="13"/>
      <c r="D54" s="13"/>
      <c r="N54" s="14"/>
    </row>
    <row r="55" ht="14.25" customHeight="1">
      <c r="B55" s="13"/>
      <c r="C55" s="13"/>
      <c r="D55" s="13"/>
      <c r="N55" s="14"/>
    </row>
    <row r="56" ht="14.25" customHeight="1">
      <c r="B56" s="13"/>
      <c r="C56" s="13"/>
      <c r="D56" s="13"/>
      <c r="N56" s="14"/>
    </row>
    <row r="57" ht="14.25" customHeight="1">
      <c r="B57" s="13"/>
      <c r="C57" s="13"/>
      <c r="D57" s="13"/>
      <c r="N57" s="14"/>
    </row>
    <row r="58" ht="14.25" customHeight="1">
      <c r="B58" s="13"/>
      <c r="C58" s="13"/>
      <c r="D58" s="13"/>
      <c r="N58" s="14"/>
    </row>
    <row r="59" ht="14.25" customHeight="1">
      <c r="B59" s="13"/>
      <c r="C59" s="13"/>
      <c r="D59" s="13"/>
      <c r="N59" s="14"/>
    </row>
    <row r="60" ht="14.25" customHeight="1">
      <c r="B60" s="13"/>
      <c r="C60" s="13"/>
      <c r="D60" s="13"/>
      <c r="N60" s="14"/>
    </row>
    <row r="61" ht="14.25" customHeight="1">
      <c r="B61" s="13"/>
      <c r="C61" s="13"/>
      <c r="D61" s="13"/>
      <c r="N61" s="14"/>
    </row>
    <row r="62" ht="14.25" customHeight="1">
      <c r="B62" s="13"/>
      <c r="C62" s="13"/>
      <c r="D62" s="13"/>
      <c r="N62" s="14"/>
    </row>
    <row r="63" ht="14.25" customHeight="1">
      <c r="B63" s="13"/>
      <c r="C63" s="13"/>
      <c r="D63" s="13"/>
      <c r="N63" s="14"/>
    </row>
    <row r="64" ht="14.25" customHeight="1">
      <c r="B64" s="13"/>
      <c r="C64" s="13"/>
      <c r="D64" s="13"/>
      <c r="N64" s="14"/>
    </row>
    <row r="65" ht="14.25" customHeight="1">
      <c r="B65" s="13"/>
      <c r="C65" s="13"/>
      <c r="D65" s="13"/>
      <c r="N65" s="14"/>
    </row>
    <row r="66" ht="14.25" customHeight="1">
      <c r="B66" s="13"/>
      <c r="C66" s="13"/>
      <c r="D66" s="13"/>
      <c r="N66" s="14"/>
    </row>
    <row r="67" ht="14.25" customHeight="1">
      <c r="B67" s="13"/>
      <c r="C67" s="13"/>
      <c r="D67" s="13"/>
      <c r="N67" s="14"/>
    </row>
    <row r="68" ht="14.25" customHeight="1">
      <c r="B68" s="13"/>
      <c r="C68" s="13"/>
      <c r="D68" s="13"/>
      <c r="N68" s="14"/>
    </row>
    <row r="69" ht="14.25" customHeight="1">
      <c r="B69" s="13"/>
      <c r="C69" s="13"/>
      <c r="D69" s="13"/>
      <c r="N69" s="14"/>
    </row>
    <row r="70" ht="14.25" customHeight="1">
      <c r="B70" s="13"/>
      <c r="C70" s="13"/>
      <c r="D70" s="13"/>
      <c r="N70" s="14"/>
    </row>
    <row r="71" ht="14.25" customHeight="1">
      <c r="B71" s="13"/>
      <c r="C71" s="13"/>
      <c r="D71" s="13"/>
      <c r="N71" s="14"/>
    </row>
    <row r="72" ht="14.25" customHeight="1">
      <c r="B72" s="13"/>
      <c r="C72" s="13"/>
      <c r="D72" s="13"/>
      <c r="N72" s="14"/>
    </row>
    <row r="73" ht="14.25" customHeight="1">
      <c r="B73" s="13"/>
      <c r="C73" s="13"/>
      <c r="D73" s="13"/>
      <c r="N73" s="14"/>
    </row>
    <row r="74" ht="14.25" customHeight="1">
      <c r="B74" s="13"/>
      <c r="C74" s="13"/>
      <c r="D74" s="13"/>
      <c r="N74" s="14"/>
    </row>
    <row r="75" ht="14.25" customHeight="1">
      <c r="B75" s="13"/>
      <c r="C75" s="13"/>
      <c r="D75" s="13"/>
      <c r="N75" s="14"/>
    </row>
    <row r="76" ht="14.25" customHeight="1">
      <c r="B76" s="13"/>
      <c r="C76" s="13"/>
      <c r="D76" s="13"/>
      <c r="N76" s="14"/>
    </row>
    <row r="77" ht="14.25" customHeight="1">
      <c r="B77" s="13"/>
      <c r="C77" s="13"/>
      <c r="D77" s="13"/>
      <c r="N77" s="14"/>
    </row>
    <row r="78" ht="14.25" customHeight="1">
      <c r="B78" s="13"/>
      <c r="C78" s="13"/>
      <c r="D78" s="13"/>
      <c r="N78" s="14"/>
    </row>
    <row r="79" ht="14.25" customHeight="1">
      <c r="B79" s="13"/>
      <c r="C79" s="13"/>
      <c r="D79" s="13"/>
      <c r="N79" s="14"/>
    </row>
    <row r="80" ht="14.25" customHeight="1">
      <c r="B80" s="13"/>
      <c r="C80" s="13"/>
      <c r="D80" s="13"/>
      <c r="N80" s="14"/>
    </row>
    <row r="81" ht="14.25" customHeight="1">
      <c r="B81" s="13"/>
      <c r="C81" s="13"/>
      <c r="D81" s="13"/>
      <c r="N81" s="14"/>
    </row>
    <row r="82" ht="14.25" customHeight="1">
      <c r="B82" s="13"/>
      <c r="C82" s="13"/>
      <c r="D82" s="13"/>
      <c r="N82" s="14"/>
    </row>
    <row r="83" ht="14.25" customHeight="1">
      <c r="B83" s="13"/>
      <c r="C83" s="13"/>
      <c r="D83" s="13"/>
      <c r="N83" s="14"/>
    </row>
    <row r="84" ht="14.25" customHeight="1">
      <c r="B84" s="13"/>
      <c r="C84" s="13"/>
      <c r="D84" s="13"/>
      <c r="N84" s="14"/>
    </row>
    <row r="85" ht="14.25" customHeight="1">
      <c r="B85" s="13"/>
      <c r="C85" s="13"/>
      <c r="D85" s="13"/>
      <c r="N85" s="14"/>
    </row>
    <row r="86" ht="14.25" customHeight="1">
      <c r="B86" s="13"/>
      <c r="C86" s="13"/>
      <c r="D86" s="13"/>
      <c r="N86" s="14"/>
    </row>
    <row r="87" ht="14.25" customHeight="1">
      <c r="B87" s="13"/>
      <c r="C87" s="13"/>
      <c r="D87" s="13"/>
      <c r="N87" s="14"/>
    </row>
    <row r="88" ht="14.25" customHeight="1">
      <c r="B88" s="13"/>
      <c r="C88" s="13"/>
      <c r="D88" s="13"/>
      <c r="N88" s="14"/>
    </row>
    <row r="89" ht="14.25" customHeight="1">
      <c r="B89" s="13"/>
      <c r="C89" s="13"/>
      <c r="D89" s="13"/>
      <c r="N89" s="14"/>
    </row>
    <row r="90" ht="14.25" customHeight="1">
      <c r="B90" s="13"/>
      <c r="C90" s="13"/>
      <c r="D90" s="13"/>
      <c r="N90" s="14"/>
    </row>
    <row r="91" ht="14.25" customHeight="1">
      <c r="B91" s="13"/>
      <c r="C91" s="13"/>
      <c r="D91" s="13"/>
      <c r="N91" s="14"/>
    </row>
    <row r="92" ht="14.25" customHeight="1">
      <c r="B92" s="13"/>
      <c r="C92" s="13"/>
      <c r="D92" s="13"/>
      <c r="N92" s="14"/>
    </row>
    <row r="93" ht="14.25" customHeight="1">
      <c r="B93" s="13"/>
      <c r="C93" s="13"/>
      <c r="D93" s="13"/>
      <c r="N93" s="14"/>
    </row>
    <row r="94" ht="14.25" customHeight="1">
      <c r="B94" s="13"/>
      <c r="C94" s="13"/>
      <c r="D94" s="13"/>
      <c r="N94" s="14"/>
    </row>
    <row r="95" ht="14.25" customHeight="1">
      <c r="B95" s="13"/>
      <c r="C95" s="13"/>
      <c r="D95" s="13"/>
      <c r="N95" s="14"/>
    </row>
    <row r="96" ht="14.25" customHeight="1">
      <c r="B96" s="13"/>
      <c r="C96" s="13"/>
      <c r="D96" s="13"/>
      <c r="N96" s="14"/>
    </row>
    <row r="97" ht="14.25" customHeight="1">
      <c r="B97" s="13"/>
      <c r="C97" s="13"/>
      <c r="D97" s="13"/>
      <c r="N97" s="14"/>
    </row>
    <row r="98" ht="14.25" customHeight="1">
      <c r="B98" s="13"/>
      <c r="C98" s="13"/>
      <c r="D98" s="13"/>
      <c r="N98" s="14"/>
    </row>
    <row r="99" ht="14.25" customHeight="1">
      <c r="B99" s="13"/>
      <c r="C99" s="13"/>
      <c r="D99" s="13"/>
      <c r="N99" s="14"/>
    </row>
    <row r="100" ht="14.25" customHeight="1">
      <c r="B100" s="13"/>
      <c r="C100" s="13"/>
      <c r="D100" s="13"/>
      <c r="N100" s="14"/>
    </row>
    <row r="101" ht="14.25" customHeight="1">
      <c r="B101" s="13"/>
      <c r="C101" s="13"/>
      <c r="D101" s="13"/>
      <c r="N101" s="14"/>
    </row>
    <row r="102" ht="14.25" customHeight="1">
      <c r="B102" s="13"/>
      <c r="C102" s="13"/>
      <c r="D102" s="13"/>
      <c r="N102" s="14"/>
    </row>
    <row r="103" ht="14.25" customHeight="1">
      <c r="B103" s="13"/>
      <c r="C103" s="13"/>
      <c r="D103" s="13"/>
      <c r="N103" s="14"/>
    </row>
    <row r="104" ht="14.25" customHeight="1">
      <c r="B104" s="13"/>
      <c r="C104" s="13"/>
      <c r="D104" s="13"/>
      <c r="N104" s="14"/>
    </row>
    <row r="105" ht="14.25" customHeight="1">
      <c r="B105" s="13"/>
      <c r="C105" s="13"/>
      <c r="D105" s="13"/>
      <c r="N105" s="14"/>
    </row>
    <row r="106" ht="14.25" customHeight="1">
      <c r="B106" s="13"/>
      <c r="C106" s="13"/>
      <c r="D106" s="13"/>
      <c r="N106" s="14"/>
    </row>
    <row r="107" ht="14.25" customHeight="1">
      <c r="B107" s="13"/>
      <c r="C107" s="13"/>
      <c r="D107" s="13"/>
      <c r="N107" s="14"/>
    </row>
    <row r="108" ht="14.25" customHeight="1">
      <c r="B108" s="13"/>
      <c r="C108" s="13"/>
      <c r="D108" s="13"/>
      <c r="N108" s="14"/>
    </row>
    <row r="109" ht="14.25" customHeight="1">
      <c r="B109" s="13"/>
      <c r="C109" s="13"/>
      <c r="D109" s="13"/>
      <c r="N109" s="14"/>
    </row>
    <row r="110" ht="14.25" customHeight="1">
      <c r="B110" s="13"/>
      <c r="C110" s="13"/>
      <c r="D110" s="13"/>
      <c r="N110" s="14"/>
    </row>
    <row r="111" ht="14.25" customHeight="1">
      <c r="B111" s="13"/>
      <c r="C111" s="13"/>
      <c r="D111" s="13"/>
      <c r="N111" s="14"/>
    </row>
    <row r="112" ht="14.25" customHeight="1">
      <c r="B112" s="13"/>
      <c r="C112" s="13"/>
      <c r="D112" s="13"/>
      <c r="N112" s="14"/>
    </row>
    <row r="113" ht="14.25" customHeight="1">
      <c r="B113" s="13"/>
      <c r="C113" s="13"/>
      <c r="D113" s="13"/>
      <c r="N113" s="14"/>
    </row>
    <row r="114" ht="14.25" customHeight="1">
      <c r="B114" s="13"/>
      <c r="C114" s="13"/>
      <c r="D114" s="13"/>
      <c r="N114" s="14"/>
    </row>
    <row r="115" ht="14.25" customHeight="1">
      <c r="B115" s="13"/>
      <c r="C115" s="13"/>
      <c r="D115" s="13"/>
      <c r="N115" s="14"/>
    </row>
    <row r="116" ht="14.25" customHeight="1">
      <c r="B116" s="13"/>
      <c r="C116" s="13"/>
      <c r="D116" s="13"/>
      <c r="N116" s="14"/>
    </row>
    <row r="117" ht="14.25" customHeight="1">
      <c r="B117" s="13"/>
      <c r="C117" s="13"/>
      <c r="D117" s="13"/>
      <c r="N117" s="14"/>
    </row>
    <row r="118" ht="14.25" customHeight="1">
      <c r="B118" s="13"/>
      <c r="C118" s="13"/>
      <c r="D118" s="13"/>
      <c r="N118" s="14"/>
    </row>
    <row r="119" ht="14.25" customHeight="1">
      <c r="B119" s="13"/>
      <c r="C119" s="13"/>
      <c r="D119" s="13"/>
      <c r="N119" s="14"/>
    </row>
    <row r="120" ht="14.25" customHeight="1">
      <c r="B120" s="13"/>
      <c r="C120" s="13"/>
      <c r="D120" s="13"/>
      <c r="N120" s="14"/>
    </row>
    <row r="121" ht="14.25" customHeight="1">
      <c r="B121" s="13"/>
      <c r="C121" s="13"/>
      <c r="D121" s="13"/>
      <c r="N121" s="14"/>
    </row>
    <row r="122" ht="14.25" customHeight="1">
      <c r="B122" s="13"/>
      <c r="C122" s="13"/>
      <c r="D122" s="13"/>
      <c r="N122" s="14"/>
    </row>
    <row r="123" ht="14.25" customHeight="1">
      <c r="B123" s="13"/>
      <c r="C123" s="13"/>
      <c r="D123" s="13"/>
      <c r="N123" s="14"/>
    </row>
    <row r="124" ht="14.25" customHeight="1">
      <c r="B124" s="13"/>
      <c r="C124" s="13"/>
      <c r="D124" s="13"/>
      <c r="N124" s="14"/>
    </row>
    <row r="125" ht="14.25" customHeight="1">
      <c r="B125" s="13"/>
      <c r="C125" s="13"/>
      <c r="D125" s="13"/>
      <c r="N125" s="14"/>
    </row>
    <row r="126" ht="14.25" customHeight="1">
      <c r="B126" s="13"/>
      <c r="C126" s="13"/>
      <c r="D126" s="13"/>
      <c r="N126" s="14"/>
    </row>
    <row r="127" ht="14.25" customHeight="1">
      <c r="B127" s="13"/>
      <c r="C127" s="13"/>
      <c r="D127" s="13"/>
      <c r="N127" s="14"/>
    </row>
    <row r="128" ht="14.25" customHeight="1">
      <c r="B128" s="13"/>
      <c r="C128" s="13"/>
      <c r="D128" s="13"/>
      <c r="N128" s="14"/>
    </row>
    <row r="129" ht="14.25" customHeight="1">
      <c r="B129" s="13"/>
      <c r="C129" s="13"/>
      <c r="D129" s="13"/>
      <c r="N129" s="14"/>
    </row>
    <row r="130" ht="14.25" customHeight="1">
      <c r="B130" s="13"/>
      <c r="C130" s="13"/>
      <c r="D130" s="13"/>
      <c r="N130" s="14"/>
    </row>
    <row r="131" ht="14.25" customHeight="1">
      <c r="B131" s="13"/>
      <c r="C131" s="13"/>
      <c r="D131" s="13"/>
      <c r="N131" s="14"/>
    </row>
    <row r="132" ht="14.25" customHeight="1">
      <c r="B132" s="13"/>
      <c r="C132" s="13"/>
      <c r="D132" s="13"/>
      <c r="N132" s="14"/>
    </row>
    <row r="133" ht="14.25" customHeight="1">
      <c r="B133" s="13"/>
      <c r="C133" s="13"/>
      <c r="D133" s="13"/>
      <c r="N133" s="14"/>
    </row>
    <row r="134" ht="14.25" customHeight="1">
      <c r="B134" s="13"/>
      <c r="C134" s="13"/>
      <c r="D134" s="13"/>
      <c r="N134" s="14"/>
    </row>
    <row r="135" ht="14.25" customHeight="1">
      <c r="B135" s="13"/>
      <c r="C135" s="13"/>
      <c r="D135" s="13"/>
      <c r="N135" s="14"/>
    </row>
    <row r="136" ht="14.25" customHeight="1">
      <c r="B136" s="13"/>
      <c r="C136" s="13"/>
      <c r="D136" s="13"/>
      <c r="N136" s="14"/>
    </row>
    <row r="137" ht="14.25" customHeight="1">
      <c r="B137" s="13"/>
      <c r="C137" s="13"/>
      <c r="D137" s="13"/>
      <c r="N137" s="14"/>
    </row>
    <row r="138" ht="14.25" customHeight="1">
      <c r="B138" s="13"/>
      <c r="C138" s="13"/>
      <c r="D138" s="13"/>
      <c r="N138" s="14"/>
    </row>
    <row r="139" ht="14.25" customHeight="1">
      <c r="B139" s="13"/>
      <c r="C139" s="13"/>
      <c r="D139" s="13"/>
      <c r="N139" s="14"/>
    </row>
    <row r="140" ht="14.25" customHeight="1">
      <c r="B140" s="13"/>
      <c r="C140" s="13"/>
      <c r="D140" s="13"/>
      <c r="N140" s="14"/>
    </row>
    <row r="141" ht="14.25" customHeight="1">
      <c r="B141" s="13"/>
      <c r="C141" s="13"/>
      <c r="D141" s="13"/>
      <c r="N141" s="14"/>
    </row>
    <row r="142" ht="14.25" customHeight="1">
      <c r="B142" s="13"/>
      <c r="C142" s="13"/>
      <c r="D142" s="13"/>
      <c r="N142" s="14"/>
    </row>
    <row r="143" ht="14.25" customHeight="1">
      <c r="B143" s="13"/>
      <c r="C143" s="13"/>
      <c r="D143" s="13"/>
      <c r="N143" s="14"/>
    </row>
    <row r="144" ht="14.25" customHeight="1">
      <c r="B144" s="13"/>
      <c r="C144" s="13"/>
      <c r="D144" s="13"/>
      <c r="N144" s="14"/>
    </row>
    <row r="145" ht="14.25" customHeight="1">
      <c r="B145" s="13"/>
      <c r="C145" s="13"/>
      <c r="D145" s="13"/>
      <c r="N145" s="14"/>
    </row>
    <row r="146" ht="14.25" customHeight="1">
      <c r="B146" s="13"/>
      <c r="C146" s="13"/>
      <c r="D146" s="13"/>
      <c r="N146" s="14"/>
    </row>
    <row r="147" ht="14.25" customHeight="1">
      <c r="B147" s="13"/>
      <c r="C147" s="13"/>
      <c r="D147" s="13"/>
      <c r="N147" s="14"/>
    </row>
    <row r="148" ht="14.25" customHeight="1">
      <c r="B148" s="13"/>
      <c r="C148" s="13"/>
      <c r="D148" s="13"/>
      <c r="N148" s="14"/>
    </row>
    <row r="149" ht="14.25" customHeight="1">
      <c r="B149" s="13"/>
      <c r="C149" s="13"/>
      <c r="D149" s="13"/>
      <c r="N149" s="14"/>
    </row>
    <row r="150" ht="14.25" customHeight="1">
      <c r="B150" s="13"/>
      <c r="C150" s="13"/>
      <c r="D150" s="13"/>
      <c r="N150" s="14"/>
    </row>
    <row r="151" ht="14.25" customHeight="1">
      <c r="B151" s="13"/>
      <c r="C151" s="13"/>
      <c r="D151" s="13"/>
      <c r="N151" s="14"/>
    </row>
    <row r="152" ht="14.25" customHeight="1">
      <c r="B152" s="13"/>
      <c r="C152" s="13"/>
      <c r="D152" s="13"/>
      <c r="N152" s="14"/>
    </row>
    <row r="153" ht="14.25" customHeight="1">
      <c r="B153" s="13"/>
      <c r="C153" s="13"/>
      <c r="D153" s="13"/>
      <c r="N153" s="14"/>
    </row>
    <row r="154" ht="14.25" customHeight="1">
      <c r="B154" s="13"/>
      <c r="C154" s="13"/>
      <c r="D154" s="13"/>
      <c r="N154" s="14"/>
    </row>
    <row r="155" ht="14.25" customHeight="1">
      <c r="B155" s="13"/>
      <c r="C155" s="13"/>
      <c r="D155" s="13"/>
      <c r="N155" s="14"/>
    </row>
    <row r="156" ht="14.25" customHeight="1">
      <c r="B156" s="13"/>
      <c r="C156" s="13"/>
      <c r="D156" s="13"/>
      <c r="N156" s="14"/>
    </row>
    <row r="157" ht="14.25" customHeight="1">
      <c r="B157" s="13"/>
      <c r="C157" s="13"/>
      <c r="D157" s="13"/>
      <c r="N157" s="14"/>
    </row>
    <row r="158" ht="14.25" customHeight="1">
      <c r="B158" s="13"/>
      <c r="C158" s="13"/>
      <c r="D158" s="13"/>
      <c r="N158" s="14"/>
    </row>
    <row r="159" ht="14.25" customHeight="1">
      <c r="B159" s="13"/>
      <c r="C159" s="13"/>
      <c r="D159" s="13"/>
      <c r="N159" s="14"/>
    </row>
    <row r="160" ht="14.25" customHeight="1">
      <c r="B160" s="13"/>
      <c r="C160" s="13"/>
      <c r="D160" s="13"/>
      <c r="N160" s="14"/>
    </row>
    <row r="161" ht="14.25" customHeight="1">
      <c r="B161" s="13"/>
      <c r="C161" s="13"/>
      <c r="D161" s="13"/>
      <c r="N161" s="14"/>
    </row>
    <row r="162" ht="14.25" customHeight="1">
      <c r="B162" s="13"/>
      <c r="C162" s="13"/>
      <c r="D162" s="13"/>
      <c r="N162" s="14"/>
    </row>
    <row r="163" ht="14.25" customHeight="1">
      <c r="B163" s="13"/>
      <c r="C163" s="13"/>
      <c r="D163" s="13"/>
      <c r="N163" s="14"/>
    </row>
    <row r="164" ht="14.25" customHeight="1">
      <c r="B164" s="13"/>
      <c r="C164" s="13"/>
      <c r="D164" s="13"/>
      <c r="N164" s="14"/>
    </row>
    <row r="165" ht="14.25" customHeight="1">
      <c r="B165" s="13"/>
      <c r="C165" s="13"/>
      <c r="D165" s="13"/>
      <c r="N165" s="14"/>
    </row>
    <row r="166" ht="14.25" customHeight="1">
      <c r="B166" s="13"/>
      <c r="C166" s="13"/>
      <c r="D166" s="13"/>
      <c r="N166" s="14"/>
    </row>
    <row r="167" ht="14.25" customHeight="1">
      <c r="B167" s="13"/>
      <c r="C167" s="13"/>
      <c r="D167" s="13"/>
      <c r="N167" s="14"/>
    </row>
    <row r="168" ht="14.25" customHeight="1">
      <c r="B168" s="13"/>
      <c r="C168" s="13"/>
      <c r="D168" s="13"/>
      <c r="N168" s="14"/>
    </row>
    <row r="169" ht="14.25" customHeight="1">
      <c r="B169" s="13"/>
      <c r="C169" s="13"/>
      <c r="D169" s="13"/>
      <c r="N169" s="14"/>
    </row>
    <row r="170" ht="14.25" customHeight="1">
      <c r="B170" s="13"/>
      <c r="C170" s="13"/>
      <c r="D170" s="13"/>
      <c r="N170" s="14"/>
    </row>
    <row r="171" ht="14.25" customHeight="1">
      <c r="B171" s="13"/>
      <c r="C171" s="13"/>
      <c r="D171" s="13"/>
      <c r="N171" s="14"/>
    </row>
    <row r="172" ht="14.25" customHeight="1">
      <c r="B172" s="13"/>
      <c r="C172" s="13"/>
      <c r="D172" s="13"/>
      <c r="N172" s="14"/>
    </row>
    <row r="173" ht="14.25" customHeight="1">
      <c r="B173" s="13"/>
      <c r="C173" s="13"/>
      <c r="D173" s="13"/>
      <c r="N173" s="14"/>
    </row>
    <row r="174" ht="14.25" customHeight="1">
      <c r="B174" s="13"/>
      <c r="C174" s="13"/>
      <c r="D174" s="13"/>
      <c r="N174" s="14"/>
    </row>
    <row r="175" ht="14.25" customHeight="1">
      <c r="B175" s="13"/>
      <c r="C175" s="13"/>
      <c r="D175" s="13"/>
      <c r="N175" s="14"/>
    </row>
    <row r="176" ht="14.25" customHeight="1">
      <c r="B176" s="13"/>
      <c r="C176" s="13"/>
      <c r="D176" s="13"/>
      <c r="N176" s="14"/>
    </row>
    <row r="177" ht="14.25" customHeight="1">
      <c r="B177" s="13"/>
      <c r="C177" s="13"/>
      <c r="D177" s="13"/>
      <c r="N177" s="14"/>
    </row>
    <row r="178" ht="14.25" customHeight="1">
      <c r="B178" s="13"/>
      <c r="C178" s="13"/>
      <c r="D178" s="13"/>
      <c r="N178" s="14"/>
    </row>
    <row r="179" ht="14.25" customHeight="1">
      <c r="B179" s="13"/>
      <c r="C179" s="13"/>
      <c r="D179" s="13"/>
      <c r="N179" s="14"/>
    </row>
    <row r="180" ht="14.25" customHeight="1">
      <c r="B180" s="13"/>
      <c r="C180" s="13"/>
      <c r="D180" s="13"/>
      <c r="N180" s="14"/>
    </row>
    <row r="181" ht="14.25" customHeight="1">
      <c r="B181" s="13"/>
      <c r="C181" s="13"/>
      <c r="D181" s="13"/>
      <c r="N181" s="14"/>
    </row>
    <row r="182" ht="14.25" customHeight="1">
      <c r="B182" s="13"/>
      <c r="C182" s="13"/>
      <c r="D182" s="13"/>
      <c r="N182" s="14"/>
    </row>
    <row r="183" ht="14.25" customHeight="1">
      <c r="B183" s="13"/>
      <c r="C183" s="13"/>
      <c r="D183" s="13"/>
      <c r="N183" s="14"/>
    </row>
    <row r="184" ht="14.25" customHeight="1">
      <c r="B184" s="13"/>
      <c r="C184" s="13"/>
      <c r="D184" s="13"/>
      <c r="N184" s="14"/>
    </row>
    <row r="185" ht="14.25" customHeight="1">
      <c r="B185" s="13"/>
      <c r="C185" s="13"/>
      <c r="D185" s="13"/>
      <c r="N185" s="14"/>
    </row>
    <row r="186" ht="14.25" customHeight="1">
      <c r="B186" s="13"/>
      <c r="C186" s="13"/>
      <c r="D186" s="13"/>
      <c r="N186" s="14"/>
    </row>
    <row r="187" ht="14.25" customHeight="1">
      <c r="B187" s="13"/>
      <c r="C187" s="13"/>
      <c r="D187" s="13"/>
      <c r="N187" s="14"/>
    </row>
    <row r="188" ht="14.25" customHeight="1">
      <c r="B188" s="13"/>
      <c r="C188" s="13"/>
      <c r="D188" s="13"/>
      <c r="N188" s="14"/>
    </row>
    <row r="189" ht="14.25" customHeight="1">
      <c r="B189" s="13"/>
      <c r="C189" s="13"/>
      <c r="D189" s="13"/>
      <c r="N189" s="14"/>
    </row>
    <row r="190" ht="14.25" customHeight="1">
      <c r="B190" s="13"/>
      <c r="C190" s="13"/>
      <c r="D190" s="13"/>
      <c r="N190" s="14"/>
    </row>
    <row r="191" ht="14.25" customHeight="1">
      <c r="B191" s="13"/>
      <c r="C191" s="13"/>
      <c r="D191" s="13"/>
      <c r="N191" s="14"/>
    </row>
    <row r="192" ht="14.25" customHeight="1">
      <c r="B192" s="13"/>
      <c r="C192" s="13"/>
      <c r="D192" s="13"/>
      <c r="N192" s="14"/>
    </row>
    <row r="193" ht="14.25" customHeight="1">
      <c r="B193" s="13"/>
      <c r="C193" s="13"/>
      <c r="D193" s="13"/>
      <c r="N193" s="14"/>
    </row>
    <row r="194" ht="14.25" customHeight="1">
      <c r="B194" s="13"/>
      <c r="C194" s="13"/>
      <c r="D194" s="13"/>
      <c r="N194" s="14"/>
    </row>
    <row r="195" ht="14.25" customHeight="1">
      <c r="B195" s="13"/>
      <c r="C195" s="13"/>
      <c r="D195" s="13"/>
      <c r="N195" s="14"/>
    </row>
    <row r="196" ht="14.25" customHeight="1">
      <c r="B196" s="13"/>
      <c r="C196" s="13"/>
      <c r="D196" s="13"/>
      <c r="N196" s="14"/>
    </row>
    <row r="197" ht="14.25" customHeight="1">
      <c r="B197" s="13"/>
      <c r="C197" s="13"/>
      <c r="D197" s="13"/>
      <c r="N197" s="14"/>
    </row>
    <row r="198" ht="14.25" customHeight="1">
      <c r="B198" s="13"/>
      <c r="C198" s="13"/>
      <c r="D198" s="13"/>
      <c r="N198" s="14"/>
    </row>
    <row r="199" ht="14.25" customHeight="1">
      <c r="B199" s="13"/>
      <c r="C199" s="13"/>
      <c r="D199" s="13"/>
      <c r="N199" s="14"/>
    </row>
    <row r="200" ht="14.25" customHeight="1">
      <c r="B200" s="13"/>
      <c r="C200" s="13"/>
      <c r="D200" s="13"/>
      <c r="N200" s="14"/>
    </row>
    <row r="201" ht="14.25" customHeight="1">
      <c r="B201" s="13"/>
      <c r="C201" s="13"/>
      <c r="D201" s="13"/>
      <c r="N201" s="14"/>
    </row>
    <row r="202" ht="14.25" customHeight="1">
      <c r="B202" s="13"/>
      <c r="C202" s="13"/>
      <c r="D202" s="13"/>
      <c r="N202" s="14"/>
    </row>
    <row r="203" ht="14.25" customHeight="1">
      <c r="B203" s="13"/>
      <c r="C203" s="13"/>
      <c r="D203" s="13"/>
      <c r="N203" s="14"/>
    </row>
    <row r="204" ht="14.25" customHeight="1">
      <c r="B204" s="13"/>
      <c r="C204" s="13"/>
      <c r="D204" s="13"/>
      <c r="N204" s="14"/>
    </row>
    <row r="205" ht="14.25" customHeight="1">
      <c r="B205" s="13"/>
      <c r="C205" s="13"/>
      <c r="D205" s="13"/>
      <c r="N205" s="14"/>
    </row>
    <row r="206" ht="14.25" customHeight="1">
      <c r="B206" s="13"/>
      <c r="C206" s="13"/>
      <c r="D206" s="13"/>
      <c r="N206" s="14"/>
    </row>
    <row r="207" ht="14.25" customHeight="1">
      <c r="B207" s="13"/>
      <c r="C207" s="13"/>
      <c r="D207" s="13"/>
      <c r="N207" s="14"/>
    </row>
    <row r="208" ht="14.25" customHeight="1">
      <c r="B208" s="13"/>
      <c r="C208" s="13"/>
      <c r="D208" s="13"/>
      <c r="N208" s="14"/>
    </row>
    <row r="209" ht="14.25" customHeight="1">
      <c r="B209" s="13"/>
      <c r="C209" s="13"/>
      <c r="D209" s="13"/>
      <c r="N209" s="14"/>
    </row>
    <row r="210" ht="14.25" customHeight="1">
      <c r="B210" s="13"/>
      <c r="C210" s="13"/>
      <c r="D210" s="13"/>
      <c r="N210" s="14"/>
    </row>
    <row r="211" ht="14.25" customHeight="1">
      <c r="B211" s="13"/>
      <c r="C211" s="13"/>
      <c r="D211" s="13"/>
      <c r="N211" s="14"/>
    </row>
    <row r="212" ht="14.25" customHeight="1">
      <c r="B212" s="13"/>
      <c r="C212" s="13"/>
      <c r="D212" s="13"/>
      <c r="N212" s="14"/>
    </row>
    <row r="213" ht="14.25" customHeight="1">
      <c r="B213" s="13"/>
      <c r="C213" s="13"/>
      <c r="D213" s="13"/>
      <c r="N213" s="14"/>
    </row>
    <row r="214" ht="14.25" customHeight="1">
      <c r="B214" s="13"/>
      <c r="C214" s="13"/>
      <c r="D214" s="13"/>
      <c r="N214" s="14"/>
    </row>
    <row r="215" ht="14.25" customHeight="1">
      <c r="B215" s="13"/>
      <c r="C215" s="13"/>
      <c r="D215" s="13"/>
      <c r="N215" s="14"/>
    </row>
    <row r="216" ht="14.25" customHeight="1">
      <c r="B216" s="13"/>
      <c r="C216" s="13"/>
      <c r="D216" s="13"/>
      <c r="N216" s="14"/>
    </row>
    <row r="217" ht="14.25" customHeight="1">
      <c r="B217" s="13"/>
      <c r="C217" s="13"/>
      <c r="D217" s="13"/>
      <c r="N217" s="14"/>
    </row>
    <row r="218" ht="14.25" customHeight="1">
      <c r="B218" s="13"/>
      <c r="C218" s="13"/>
      <c r="D218" s="13"/>
      <c r="N218" s="14"/>
    </row>
    <row r="219" ht="14.25" customHeight="1">
      <c r="B219" s="13"/>
      <c r="C219" s="13"/>
      <c r="D219" s="13"/>
      <c r="N219" s="14"/>
    </row>
    <row r="220" ht="14.25" customHeight="1">
      <c r="B220" s="13"/>
      <c r="C220" s="13"/>
      <c r="D220" s="13"/>
      <c r="N220" s="14"/>
    </row>
    <row r="221" ht="14.25" customHeight="1">
      <c r="B221" s="13"/>
      <c r="C221" s="13"/>
      <c r="D221" s="13"/>
      <c r="N221" s="14"/>
    </row>
    <row r="222" ht="14.25" customHeight="1">
      <c r="B222" s="13"/>
      <c r="C222" s="13"/>
      <c r="D222" s="13"/>
      <c r="N222" s="14"/>
    </row>
    <row r="223" ht="14.25" customHeight="1">
      <c r="B223" s="13"/>
      <c r="C223" s="13"/>
      <c r="D223" s="13"/>
      <c r="N223" s="14"/>
    </row>
    <row r="224" ht="14.25" customHeight="1">
      <c r="B224" s="13"/>
      <c r="C224" s="13"/>
      <c r="D224" s="13"/>
      <c r="N224" s="14"/>
    </row>
    <row r="225" ht="14.25" customHeight="1">
      <c r="B225" s="13"/>
      <c r="C225" s="13"/>
      <c r="D225" s="13"/>
      <c r="N225" s="14"/>
    </row>
    <row r="226" ht="14.25" customHeight="1">
      <c r="B226" s="13"/>
      <c r="C226" s="13"/>
      <c r="D226" s="13"/>
      <c r="N226" s="14"/>
    </row>
    <row r="227" ht="14.25" customHeight="1">
      <c r="B227" s="13"/>
      <c r="C227" s="13"/>
      <c r="D227" s="13"/>
      <c r="N227" s="14"/>
    </row>
    <row r="228" ht="14.25" customHeight="1">
      <c r="B228" s="13"/>
      <c r="C228" s="13"/>
      <c r="D228" s="13"/>
      <c r="N228" s="14"/>
    </row>
    <row r="229" ht="14.25" customHeight="1">
      <c r="B229" s="13"/>
      <c r="C229" s="13"/>
      <c r="D229" s="13"/>
      <c r="N229" s="14"/>
    </row>
    <row r="230" ht="14.25" customHeight="1">
      <c r="B230" s="13"/>
      <c r="C230" s="13"/>
      <c r="D230" s="13"/>
      <c r="N230" s="14"/>
    </row>
    <row r="231" ht="14.25" customHeight="1">
      <c r="B231" s="13"/>
      <c r="C231" s="13"/>
      <c r="D231" s="13"/>
      <c r="N231" s="14"/>
    </row>
    <row r="232" ht="14.25" customHeight="1">
      <c r="B232" s="13"/>
      <c r="C232" s="13"/>
      <c r="D232" s="13"/>
      <c r="N232" s="14"/>
    </row>
    <row r="233" ht="14.25" customHeight="1">
      <c r="B233" s="13"/>
      <c r="C233" s="13"/>
      <c r="D233" s="13"/>
      <c r="N233" s="14"/>
    </row>
    <row r="234" ht="14.25" customHeight="1">
      <c r="B234" s="13"/>
      <c r="C234" s="13"/>
      <c r="D234" s="13"/>
      <c r="N234" s="14"/>
    </row>
    <row r="235" ht="14.25" customHeight="1">
      <c r="B235" s="13"/>
      <c r="C235" s="13"/>
      <c r="D235" s="13"/>
      <c r="N235" s="14"/>
    </row>
    <row r="236" ht="14.25" customHeight="1">
      <c r="B236" s="13"/>
      <c r="C236" s="13"/>
      <c r="D236" s="13"/>
      <c r="N236" s="14"/>
    </row>
    <row r="237" ht="14.25" customHeight="1">
      <c r="B237" s="13"/>
      <c r="C237" s="13"/>
      <c r="D237" s="13"/>
      <c r="N237" s="14"/>
    </row>
    <row r="238" ht="14.25" customHeight="1">
      <c r="B238" s="13"/>
      <c r="C238" s="13"/>
      <c r="D238" s="13"/>
      <c r="N238" s="14"/>
    </row>
    <row r="239" ht="14.25" customHeight="1">
      <c r="B239" s="13"/>
      <c r="C239" s="13"/>
      <c r="D239" s="13"/>
      <c r="N239" s="14"/>
    </row>
    <row r="240" ht="14.25" customHeight="1">
      <c r="B240" s="13"/>
      <c r="C240" s="13"/>
      <c r="D240" s="13"/>
      <c r="N240" s="14"/>
    </row>
    <row r="241" ht="14.25" customHeight="1">
      <c r="B241" s="13"/>
      <c r="C241" s="13"/>
      <c r="D241" s="13"/>
      <c r="N241" s="14"/>
    </row>
    <row r="242" ht="14.25" customHeight="1">
      <c r="B242" s="13"/>
      <c r="C242" s="13"/>
      <c r="D242" s="13"/>
      <c r="N242" s="14"/>
    </row>
    <row r="243" ht="14.25" customHeight="1">
      <c r="B243" s="13"/>
      <c r="C243" s="13"/>
      <c r="D243" s="13"/>
      <c r="N243" s="14"/>
    </row>
    <row r="244" ht="14.25" customHeight="1">
      <c r="B244" s="13"/>
      <c r="C244" s="13"/>
      <c r="D244" s="13"/>
      <c r="N244" s="14"/>
    </row>
    <row r="245" ht="14.25" customHeight="1">
      <c r="B245" s="13"/>
      <c r="C245" s="13"/>
      <c r="D245" s="13"/>
      <c r="N245" s="14"/>
    </row>
    <row r="246" ht="14.25" customHeight="1">
      <c r="B246" s="13"/>
      <c r="C246" s="13"/>
      <c r="D246" s="13"/>
      <c r="N246" s="14"/>
    </row>
    <row r="247" ht="14.25" customHeight="1">
      <c r="B247" s="13"/>
      <c r="C247" s="13"/>
      <c r="D247" s="13"/>
      <c r="N247" s="14"/>
    </row>
    <row r="248" ht="14.25" customHeight="1">
      <c r="B248" s="13"/>
      <c r="C248" s="13"/>
      <c r="D248" s="13"/>
      <c r="N248" s="14"/>
    </row>
    <row r="249" ht="14.25" customHeight="1">
      <c r="B249" s="13"/>
      <c r="C249" s="13"/>
      <c r="D249" s="13"/>
      <c r="N249" s="14"/>
    </row>
    <row r="250" ht="14.25" customHeight="1">
      <c r="B250" s="13"/>
      <c r="C250" s="13"/>
      <c r="D250" s="13"/>
      <c r="N250" s="14"/>
    </row>
    <row r="251" ht="14.25" customHeight="1">
      <c r="B251" s="13"/>
      <c r="C251" s="13"/>
      <c r="D251" s="13"/>
      <c r="N251" s="14"/>
    </row>
    <row r="252" ht="14.25" customHeight="1">
      <c r="B252" s="13"/>
      <c r="C252" s="13"/>
      <c r="D252" s="13"/>
      <c r="N252" s="14"/>
    </row>
    <row r="253" ht="14.25" customHeight="1">
      <c r="B253" s="13"/>
      <c r="C253" s="13"/>
      <c r="D253" s="13"/>
      <c r="N253" s="14"/>
    </row>
    <row r="254" ht="14.25" customHeight="1">
      <c r="B254" s="13"/>
      <c r="C254" s="13"/>
      <c r="D254" s="13"/>
      <c r="N254" s="14"/>
    </row>
    <row r="255" ht="14.25" customHeight="1">
      <c r="B255" s="13"/>
      <c r="C255" s="13"/>
      <c r="D255" s="13"/>
      <c r="N255" s="14"/>
    </row>
    <row r="256" ht="14.25" customHeight="1">
      <c r="B256" s="13"/>
      <c r="C256" s="13"/>
      <c r="D256" s="13"/>
      <c r="N256" s="14"/>
    </row>
    <row r="257" ht="14.25" customHeight="1">
      <c r="B257" s="13"/>
      <c r="C257" s="13"/>
      <c r="D257" s="13"/>
      <c r="N257" s="14"/>
    </row>
    <row r="258" ht="14.25" customHeight="1">
      <c r="B258" s="13"/>
      <c r="C258" s="13"/>
      <c r="D258" s="13"/>
      <c r="N258" s="14"/>
    </row>
    <row r="259" ht="14.25" customHeight="1">
      <c r="B259" s="13"/>
      <c r="C259" s="13"/>
      <c r="D259" s="13"/>
      <c r="N259" s="14"/>
    </row>
    <row r="260" ht="14.25" customHeight="1">
      <c r="B260" s="13"/>
      <c r="C260" s="13"/>
      <c r="D260" s="13"/>
      <c r="N260" s="14"/>
    </row>
    <row r="261" ht="14.25" customHeight="1">
      <c r="B261" s="13"/>
      <c r="C261" s="13"/>
      <c r="D261" s="13"/>
      <c r="N261" s="14"/>
    </row>
    <row r="262" ht="14.25" customHeight="1">
      <c r="B262" s="13"/>
      <c r="C262" s="13"/>
      <c r="D262" s="13"/>
      <c r="N262" s="14"/>
    </row>
    <row r="263" ht="14.25" customHeight="1">
      <c r="B263" s="13"/>
      <c r="C263" s="13"/>
      <c r="D263" s="13"/>
      <c r="N263" s="14"/>
    </row>
    <row r="264" ht="14.25" customHeight="1">
      <c r="B264" s="13"/>
      <c r="C264" s="13"/>
      <c r="D264" s="13"/>
      <c r="N264" s="14"/>
    </row>
    <row r="265" ht="14.25" customHeight="1">
      <c r="B265" s="13"/>
      <c r="C265" s="13"/>
      <c r="D265" s="13"/>
      <c r="N265" s="14"/>
    </row>
    <row r="266" ht="14.25" customHeight="1">
      <c r="B266" s="13"/>
      <c r="C266" s="13"/>
      <c r="D266" s="13"/>
      <c r="N266" s="14"/>
    </row>
    <row r="267" ht="14.25" customHeight="1">
      <c r="B267" s="13"/>
      <c r="C267" s="13"/>
      <c r="D267" s="13"/>
      <c r="N267" s="14"/>
    </row>
    <row r="268" ht="14.25" customHeight="1">
      <c r="B268" s="13"/>
      <c r="C268" s="13"/>
      <c r="D268" s="13"/>
      <c r="N268" s="14"/>
    </row>
    <row r="269" ht="14.25" customHeight="1">
      <c r="B269" s="13"/>
      <c r="C269" s="13"/>
      <c r="D269" s="13"/>
      <c r="N269" s="14"/>
    </row>
    <row r="270" ht="14.25" customHeight="1">
      <c r="B270" s="13"/>
      <c r="C270" s="13"/>
      <c r="D270" s="13"/>
      <c r="N270" s="14"/>
    </row>
    <row r="271" ht="14.25" customHeight="1">
      <c r="B271" s="13"/>
      <c r="C271" s="13"/>
      <c r="D271" s="13"/>
      <c r="N271" s="14"/>
    </row>
    <row r="272" ht="14.25" customHeight="1">
      <c r="B272" s="13"/>
      <c r="C272" s="13"/>
      <c r="D272" s="13"/>
      <c r="N272" s="14"/>
    </row>
    <row r="273" ht="14.25" customHeight="1">
      <c r="B273" s="13"/>
      <c r="C273" s="13"/>
      <c r="D273" s="13"/>
      <c r="N273" s="14"/>
    </row>
    <row r="274" ht="14.25" customHeight="1">
      <c r="B274" s="13"/>
      <c r="C274" s="13"/>
      <c r="D274" s="13"/>
      <c r="N274" s="14"/>
    </row>
    <row r="275" ht="14.25" customHeight="1">
      <c r="B275" s="13"/>
      <c r="C275" s="13"/>
      <c r="D275" s="13"/>
      <c r="N275" s="14"/>
    </row>
    <row r="276" ht="14.25" customHeight="1">
      <c r="B276" s="13"/>
      <c r="C276" s="13"/>
      <c r="D276" s="13"/>
      <c r="N276" s="14"/>
    </row>
    <row r="277" ht="14.25" customHeight="1">
      <c r="B277" s="13"/>
      <c r="C277" s="13"/>
      <c r="D277" s="13"/>
      <c r="N277" s="14"/>
    </row>
    <row r="278" ht="14.25" customHeight="1">
      <c r="B278" s="13"/>
      <c r="C278" s="13"/>
      <c r="D278" s="13"/>
      <c r="N278" s="14"/>
    </row>
    <row r="279" ht="14.25" customHeight="1">
      <c r="B279" s="13"/>
      <c r="C279" s="13"/>
      <c r="D279" s="13"/>
      <c r="N279" s="14"/>
    </row>
    <row r="280" ht="14.25" customHeight="1">
      <c r="B280" s="13"/>
      <c r="C280" s="13"/>
      <c r="D280" s="13"/>
      <c r="N280" s="14"/>
    </row>
    <row r="281" ht="14.25" customHeight="1">
      <c r="B281" s="13"/>
      <c r="C281" s="13"/>
      <c r="D281" s="13"/>
      <c r="N281" s="14"/>
    </row>
    <row r="282" ht="14.25" customHeight="1">
      <c r="B282" s="13"/>
      <c r="C282" s="13"/>
      <c r="D282" s="13"/>
      <c r="N282" s="14"/>
    </row>
    <row r="283" ht="14.25" customHeight="1">
      <c r="B283" s="13"/>
      <c r="C283" s="13"/>
      <c r="D283" s="13"/>
      <c r="N283" s="14"/>
    </row>
    <row r="284" ht="14.25" customHeight="1">
      <c r="B284" s="13"/>
      <c r="C284" s="13"/>
      <c r="D284" s="13"/>
      <c r="N284" s="14"/>
    </row>
    <row r="285" ht="14.25" customHeight="1">
      <c r="B285" s="13"/>
      <c r="C285" s="13"/>
      <c r="D285" s="13"/>
      <c r="N285" s="14"/>
    </row>
    <row r="286" ht="14.25" customHeight="1">
      <c r="B286" s="13"/>
      <c r="C286" s="13"/>
      <c r="D286" s="13"/>
      <c r="N286" s="14"/>
    </row>
    <row r="287" ht="14.25" customHeight="1">
      <c r="B287" s="13"/>
      <c r="C287" s="13"/>
      <c r="D287" s="13"/>
      <c r="N287" s="14"/>
    </row>
    <row r="288" ht="14.25" customHeight="1">
      <c r="B288" s="13"/>
      <c r="C288" s="13"/>
      <c r="D288" s="13"/>
      <c r="N288" s="14"/>
    </row>
    <row r="289" ht="14.25" customHeight="1">
      <c r="B289" s="13"/>
      <c r="C289" s="13"/>
      <c r="D289" s="13"/>
      <c r="N289" s="14"/>
    </row>
    <row r="290" ht="14.25" customHeight="1">
      <c r="B290" s="13"/>
      <c r="C290" s="13"/>
      <c r="D290" s="13"/>
      <c r="N290" s="14"/>
    </row>
    <row r="291" ht="14.25" customHeight="1">
      <c r="B291" s="13"/>
      <c r="C291" s="13"/>
      <c r="D291" s="13"/>
      <c r="N291" s="14"/>
    </row>
    <row r="292" ht="14.25" customHeight="1">
      <c r="B292" s="13"/>
      <c r="C292" s="13"/>
      <c r="D292" s="13"/>
      <c r="N292" s="14"/>
    </row>
    <row r="293" ht="14.25" customHeight="1">
      <c r="B293" s="13"/>
      <c r="C293" s="13"/>
      <c r="D293" s="13"/>
      <c r="N293" s="14"/>
    </row>
    <row r="294" ht="14.25" customHeight="1">
      <c r="B294" s="13"/>
      <c r="C294" s="13"/>
      <c r="D294" s="13"/>
      <c r="N294" s="14"/>
    </row>
    <row r="295" ht="14.25" customHeight="1">
      <c r="B295" s="13"/>
      <c r="C295" s="13"/>
      <c r="D295" s="13"/>
      <c r="N295" s="14"/>
    </row>
    <row r="296" ht="14.25" customHeight="1">
      <c r="B296" s="13"/>
      <c r="C296" s="13"/>
      <c r="D296" s="13"/>
      <c r="N296" s="14"/>
    </row>
    <row r="297" ht="14.25" customHeight="1">
      <c r="B297" s="13"/>
      <c r="C297" s="13"/>
      <c r="D297" s="13"/>
      <c r="N297" s="14"/>
    </row>
    <row r="298" ht="14.25" customHeight="1">
      <c r="B298" s="13"/>
      <c r="C298" s="13"/>
      <c r="D298" s="13"/>
      <c r="N298" s="14"/>
    </row>
    <row r="299" ht="14.25" customHeight="1">
      <c r="B299" s="13"/>
      <c r="C299" s="13"/>
      <c r="D299" s="13"/>
      <c r="N299" s="14"/>
    </row>
    <row r="300" ht="14.25" customHeight="1">
      <c r="B300" s="13"/>
      <c r="C300" s="13"/>
      <c r="D300" s="13"/>
      <c r="N300" s="14"/>
    </row>
    <row r="301" ht="14.25" customHeight="1">
      <c r="B301" s="13"/>
      <c r="C301" s="13"/>
      <c r="D301" s="13"/>
      <c r="N301" s="14"/>
    </row>
    <row r="302" ht="14.25" customHeight="1">
      <c r="B302" s="13"/>
      <c r="C302" s="13"/>
      <c r="D302" s="13"/>
      <c r="N302" s="14"/>
    </row>
    <row r="303" ht="14.25" customHeight="1">
      <c r="B303" s="13"/>
      <c r="C303" s="13"/>
      <c r="D303" s="13"/>
      <c r="N303" s="14"/>
    </row>
    <row r="304" ht="14.25" customHeight="1">
      <c r="B304" s="13"/>
      <c r="C304" s="13"/>
      <c r="D304" s="13"/>
      <c r="N304" s="14"/>
    </row>
    <row r="305" ht="14.25" customHeight="1">
      <c r="B305" s="13"/>
      <c r="C305" s="13"/>
      <c r="D305" s="13"/>
      <c r="N305" s="14"/>
    </row>
    <row r="306" ht="14.25" customHeight="1">
      <c r="B306" s="13"/>
      <c r="C306" s="13"/>
      <c r="D306" s="13"/>
      <c r="N306" s="14"/>
    </row>
    <row r="307" ht="14.25" customHeight="1">
      <c r="B307" s="13"/>
      <c r="C307" s="13"/>
      <c r="D307" s="13"/>
      <c r="N307" s="14"/>
    </row>
    <row r="308" ht="14.25" customHeight="1">
      <c r="B308" s="13"/>
      <c r="C308" s="13"/>
      <c r="D308" s="13"/>
      <c r="N308" s="14"/>
    </row>
    <row r="309" ht="14.25" customHeight="1">
      <c r="B309" s="13"/>
      <c r="C309" s="13"/>
      <c r="D309" s="13"/>
      <c r="N309" s="14"/>
    </row>
    <row r="310" ht="14.25" customHeight="1">
      <c r="B310" s="13"/>
      <c r="C310" s="13"/>
      <c r="D310" s="13"/>
      <c r="N310" s="14"/>
    </row>
    <row r="311" ht="14.25" customHeight="1">
      <c r="B311" s="13"/>
      <c r="C311" s="13"/>
      <c r="D311" s="13"/>
      <c r="N311" s="14"/>
    </row>
    <row r="312" ht="14.25" customHeight="1">
      <c r="B312" s="13"/>
      <c r="C312" s="13"/>
      <c r="D312" s="13"/>
      <c r="N312" s="14"/>
    </row>
    <row r="313" ht="14.25" customHeight="1">
      <c r="B313" s="13"/>
      <c r="C313" s="13"/>
      <c r="D313" s="13"/>
      <c r="N313" s="14"/>
    </row>
    <row r="314" ht="14.25" customHeight="1">
      <c r="B314" s="13"/>
      <c r="C314" s="13"/>
      <c r="D314" s="13"/>
      <c r="N314" s="14"/>
    </row>
    <row r="315" ht="14.25" customHeight="1">
      <c r="B315" s="13"/>
      <c r="C315" s="13"/>
      <c r="D315" s="13"/>
      <c r="N315" s="14"/>
    </row>
    <row r="316" ht="14.25" customHeight="1">
      <c r="B316" s="13"/>
      <c r="C316" s="13"/>
      <c r="D316" s="13"/>
      <c r="N316" s="14"/>
    </row>
    <row r="317" ht="14.25" customHeight="1">
      <c r="B317" s="13"/>
      <c r="C317" s="13"/>
      <c r="D317" s="13"/>
      <c r="N317" s="14"/>
    </row>
    <row r="318" ht="14.25" customHeight="1">
      <c r="B318" s="13"/>
      <c r="C318" s="13"/>
      <c r="D318" s="13"/>
      <c r="N318" s="14"/>
    </row>
    <row r="319" ht="14.25" customHeight="1">
      <c r="B319" s="13"/>
      <c r="C319" s="13"/>
      <c r="D319" s="13"/>
      <c r="N319" s="14"/>
    </row>
    <row r="320" ht="14.25" customHeight="1">
      <c r="B320" s="13"/>
      <c r="C320" s="13"/>
      <c r="D320" s="13"/>
      <c r="N320" s="14"/>
    </row>
    <row r="321" ht="14.25" customHeight="1">
      <c r="B321" s="13"/>
      <c r="C321" s="13"/>
      <c r="D321" s="13"/>
      <c r="N321" s="14"/>
    </row>
    <row r="322" ht="14.25" customHeight="1">
      <c r="B322" s="13"/>
      <c r="C322" s="13"/>
      <c r="D322" s="13"/>
      <c r="N322" s="14"/>
    </row>
    <row r="323" ht="14.25" customHeight="1">
      <c r="B323" s="13"/>
      <c r="C323" s="13"/>
      <c r="D323" s="13"/>
      <c r="N323" s="14"/>
    </row>
    <row r="324" ht="14.25" customHeight="1">
      <c r="B324" s="13"/>
      <c r="C324" s="13"/>
      <c r="D324" s="13"/>
      <c r="N324" s="14"/>
    </row>
    <row r="325" ht="14.25" customHeight="1">
      <c r="B325" s="13"/>
      <c r="C325" s="13"/>
      <c r="D325" s="13"/>
      <c r="N325" s="14"/>
    </row>
    <row r="326" ht="14.25" customHeight="1">
      <c r="B326" s="13"/>
      <c r="C326" s="13"/>
      <c r="D326" s="13"/>
      <c r="N326" s="14"/>
    </row>
    <row r="327" ht="14.25" customHeight="1">
      <c r="B327" s="13"/>
      <c r="C327" s="13"/>
      <c r="D327" s="13"/>
      <c r="N327" s="14"/>
    </row>
    <row r="328" ht="14.25" customHeight="1">
      <c r="B328" s="13"/>
      <c r="C328" s="13"/>
      <c r="D328" s="13"/>
      <c r="N328" s="14"/>
    </row>
    <row r="329" ht="14.25" customHeight="1">
      <c r="B329" s="13"/>
      <c r="C329" s="13"/>
      <c r="D329" s="13"/>
      <c r="N329" s="14"/>
    </row>
    <row r="330" ht="14.25" customHeight="1">
      <c r="B330" s="13"/>
      <c r="C330" s="13"/>
      <c r="D330" s="13"/>
      <c r="N330" s="14"/>
    </row>
    <row r="331" ht="14.25" customHeight="1">
      <c r="B331" s="13"/>
      <c r="C331" s="13"/>
      <c r="D331" s="13"/>
      <c r="N331" s="14"/>
    </row>
    <row r="332" ht="14.25" customHeight="1">
      <c r="B332" s="13"/>
      <c r="C332" s="13"/>
      <c r="D332" s="13"/>
      <c r="N332" s="14"/>
    </row>
    <row r="333" ht="14.25" customHeight="1">
      <c r="B333" s="13"/>
      <c r="C333" s="13"/>
      <c r="D333" s="13"/>
      <c r="N333" s="14"/>
    </row>
    <row r="334" ht="14.25" customHeight="1">
      <c r="B334" s="13"/>
      <c r="C334" s="13"/>
      <c r="D334" s="13"/>
      <c r="N334" s="14"/>
    </row>
    <row r="335" ht="14.25" customHeight="1">
      <c r="B335" s="13"/>
      <c r="C335" s="13"/>
      <c r="D335" s="13"/>
      <c r="N335" s="14"/>
    </row>
    <row r="336" ht="14.25" customHeight="1">
      <c r="B336" s="13"/>
      <c r="C336" s="13"/>
      <c r="D336" s="13"/>
      <c r="N336" s="14"/>
    </row>
    <row r="337" ht="14.25" customHeight="1">
      <c r="B337" s="13"/>
      <c r="C337" s="13"/>
      <c r="D337" s="13"/>
      <c r="N337" s="14"/>
    </row>
    <row r="338" ht="14.25" customHeight="1">
      <c r="B338" s="13"/>
      <c r="C338" s="13"/>
      <c r="D338" s="13"/>
      <c r="N338" s="14"/>
    </row>
    <row r="339" ht="14.25" customHeight="1">
      <c r="B339" s="13"/>
      <c r="C339" s="13"/>
      <c r="D339" s="13"/>
      <c r="N339" s="14"/>
    </row>
    <row r="340" ht="14.25" customHeight="1">
      <c r="B340" s="13"/>
      <c r="C340" s="13"/>
      <c r="D340" s="13"/>
      <c r="N340" s="14"/>
    </row>
    <row r="341" ht="14.25" customHeight="1">
      <c r="B341" s="13"/>
      <c r="C341" s="13"/>
      <c r="D341" s="13"/>
      <c r="N341" s="14"/>
    </row>
    <row r="342" ht="14.25" customHeight="1">
      <c r="B342" s="13"/>
      <c r="C342" s="13"/>
      <c r="D342" s="13"/>
      <c r="N342" s="14"/>
    </row>
    <row r="343" ht="14.25" customHeight="1">
      <c r="B343" s="13"/>
      <c r="C343" s="13"/>
      <c r="D343" s="13"/>
      <c r="N343" s="14"/>
    </row>
    <row r="344" ht="14.25" customHeight="1">
      <c r="B344" s="13"/>
      <c r="C344" s="13"/>
      <c r="D344" s="13"/>
      <c r="N344" s="14"/>
    </row>
    <row r="345" ht="14.25" customHeight="1">
      <c r="B345" s="13"/>
      <c r="C345" s="13"/>
      <c r="D345" s="13"/>
      <c r="N345" s="14"/>
    </row>
    <row r="346" ht="14.25" customHeight="1">
      <c r="B346" s="13"/>
      <c r="C346" s="13"/>
      <c r="D346" s="13"/>
      <c r="N346" s="14"/>
    </row>
    <row r="347" ht="14.25" customHeight="1">
      <c r="B347" s="13"/>
      <c r="C347" s="13"/>
      <c r="D347" s="13"/>
      <c r="N347" s="14"/>
    </row>
    <row r="348" ht="14.25" customHeight="1">
      <c r="B348" s="13"/>
      <c r="C348" s="13"/>
      <c r="D348" s="13"/>
      <c r="N348" s="14"/>
    </row>
    <row r="349" ht="14.25" customHeight="1">
      <c r="B349" s="13"/>
      <c r="C349" s="13"/>
      <c r="D349" s="13"/>
      <c r="N349" s="14"/>
    </row>
    <row r="350" ht="14.25" customHeight="1">
      <c r="B350" s="13"/>
      <c r="C350" s="13"/>
      <c r="D350" s="13"/>
      <c r="N350" s="14"/>
    </row>
    <row r="351" ht="14.25" customHeight="1">
      <c r="B351" s="13"/>
      <c r="C351" s="13"/>
      <c r="D351" s="13"/>
      <c r="N351" s="14"/>
    </row>
    <row r="352" ht="14.25" customHeight="1">
      <c r="B352" s="13"/>
      <c r="C352" s="13"/>
      <c r="D352" s="13"/>
      <c r="N352" s="14"/>
    </row>
    <row r="353" ht="14.25" customHeight="1">
      <c r="B353" s="13"/>
      <c r="C353" s="13"/>
      <c r="D353" s="13"/>
      <c r="N353" s="14"/>
    </row>
    <row r="354" ht="14.25" customHeight="1">
      <c r="B354" s="13"/>
      <c r="C354" s="13"/>
      <c r="D354" s="13"/>
      <c r="N354" s="14"/>
    </row>
    <row r="355" ht="14.25" customHeight="1">
      <c r="B355" s="13"/>
      <c r="C355" s="13"/>
      <c r="D355" s="13"/>
      <c r="N355" s="14"/>
    </row>
    <row r="356" ht="14.25" customHeight="1">
      <c r="B356" s="13"/>
      <c r="C356" s="13"/>
      <c r="D356" s="13"/>
      <c r="N356" s="14"/>
    </row>
    <row r="357" ht="14.25" customHeight="1">
      <c r="B357" s="13"/>
      <c r="C357" s="13"/>
      <c r="D357" s="13"/>
      <c r="N357" s="14"/>
    </row>
    <row r="358" ht="14.25" customHeight="1">
      <c r="B358" s="13"/>
      <c r="C358" s="13"/>
      <c r="D358" s="13"/>
      <c r="N358" s="14"/>
    </row>
    <row r="359" ht="14.25" customHeight="1">
      <c r="B359" s="13"/>
      <c r="C359" s="13"/>
      <c r="D359" s="13"/>
      <c r="N359" s="14"/>
    </row>
    <row r="360" ht="14.25" customHeight="1">
      <c r="B360" s="13"/>
      <c r="C360" s="13"/>
      <c r="D360" s="13"/>
      <c r="N360" s="14"/>
    </row>
    <row r="361" ht="14.25" customHeight="1">
      <c r="B361" s="13"/>
      <c r="C361" s="13"/>
      <c r="D361" s="13"/>
      <c r="N361" s="14"/>
    </row>
    <row r="362" ht="14.25" customHeight="1">
      <c r="B362" s="13"/>
      <c r="C362" s="13"/>
      <c r="D362" s="13"/>
      <c r="N362" s="14"/>
    </row>
    <row r="363" ht="14.25" customHeight="1">
      <c r="B363" s="13"/>
      <c r="C363" s="13"/>
      <c r="D363" s="13"/>
      <c r="N363" s="14"/>
    </row>
    <row r="364" ht="14.25" customHeight="1">
      <c r="B364" s="13"/>
      <c r="C364" s="13"/>
      <c r="D364" s="13"/>
      <c r="N364" s="14"/>
    </row>
    <row r="365" ht="14.25" customHeight="1">
      <c r="B365" s="13"/>
      <c r="C365" s="13"/>
      <c r="D365" s="13"/>
      <c r="N365" s="14"/>
    </row>
    <row r="366" ht="14.25" customHeight="1">
      <c r="B366" s="13"/>
      <c r="C366" s="13"/>
      <c r="D366" s="13"/>
      <c r="N366" s="14"/>
    </row>
    <row r="367" ht="14.25" customHeight="1">
      <c r="B367" s="13"/>
      <c r="C367" s="13"/>
      <c r="D367" s="13"/>
      <c r="N367" s="14"/>
    </row>
    <row r="368" ht="14.25" customHeight="1">
      <c r="B368" s="13"/>
      <c r="C368" s="13"/>
      <c r="D368" s="13"/>
      <c r="N368" s="14"/>
    </row>
    <row r="369" ht="14.25" customHeight="1">
      <c r="B369" s="13"/>
      <c r="C369" s="13"/>
      <c r="D369" s="13"/>
      <c r="N369" s="14"/>
    </row>
    <row r="370" ht="14.25" customHeight="1">
      <c r="B370" s="13"/>
      <c r="C370" s="13"/>
      <c r="D370" s="13"/>
      <c r="N370" s="14"/>
    </row>
    <row r="371" ht="14.25" customHeight="1">
      <c r="B371" s="13"/>
      <c r="C371" s="13"/>
      <c r="D371" s="13"/>
      <c r="N371" s="14"/>
    </row>
    <row r="372" ht="14.25" customHeight="1">
      <c r="B372" s="13"/>
      <c r="C372" s="13"/>
      <c r="D372" s="13"/>
      <c r="N372" s="14"/>
    </row>
    <row r="373" ht="14.25" customHeight="1">
      <c r="B373" s="13"/>
      <c r="C373" s="13"/>
      <c r="D373" s="13"/>
      <c r="N373" s="14"/>
    </row>
    <row r="374" ht="14.25" customHeight="1">
      <c r="B374" s="13"/>
      <c r="C374" s="13"/>
      <c r="D374" s="13"/>
      <c r="N374" s="14"/>
    </row>
    <row r="375" ht="14.25" customHeight="1">
      <c r="B375" s="13"/>
      <c r="C375" s="13"/>
      <c r="D375" s="13"/>
      <c r="N375" s="14"/>
    </row>
    <row r="376" ht="14.25" customHeight="1">
      <c r="B376" s="13"/>
      <c r="C376" s="13"/>
      <c r="D376" s="13"/>
      <c r="N376" s="14"/>
    </row>
    <row r="377" ht="14.25" customHeight="1">
      <c r="B377" s="13"/>
      <c r="C377" s="13"/>
      <c r="D377" s="13"/>
      <c r="N377" s="14"/>
    </row>
    <row r="378" ht="14.25" customHeight="1">
      <c r="B378" s="13"/>
      <c r="C378" s="13"/>
      <c r="D378" s="13"/>
      <c r="N378" s="14"/>
    </row>
    <row r="379" ht="14.25" customHeight="1">
      <c r="B379" s="13"/>
      <c r="C379" s="13"/>
      <c r="D379" s="13"/>
      <c r="N379" s="14"/>
    </row>
    <row r="380" ht="14.25" customHeight="1">
      <c r="B380" s="13"/>
      <c r="C380" s="13"/>
      <c r="D380" s="13"/>
      <c r="N380" s="14"/>
    </row>
    <row r="381" ht="14.25" customHeight="1">
      <c r="B381" s="13"/>
      <c r="C381" s="13"/>
      <c r="D381" s="13"/>
      <c r="N381" s="14"/>
    </row>
    <row r="382" ht="14.25" customHeight="1">
      <c r="B382" s="13"/>
      <c r="C382" s="13"/>
      <c r="D382" s="13"/>
      <c r="N382" s="14"/>
    </row>
    <row r="383" ht="14.25" customHeight="1">
      <c r="B383" s="13"/>
      <c r="C383" s="13"/>
      <c r="D383" s="13"/>
      <c r="N383" s="14"/>
    </row>
    <row r="384" ht="14.25" customHeight="1">
      <c r="B384" s="13"/>
      <c r="C384" s="13"/>
      <c r="D384" s="13"/>
      <c r="N384" s="14"/>
    </row>
    <row r="385" ht="14.25" customHeight="1">
      <c r="B385" s="13"/>
      <c r="C385" s="13"/>
      <c r="D385" s="13"/>
      <c r="N385" s="14"/>
    </row>
    <row r="386" ht="14.25" customHeight="1">
      <c r="B386" s="13"/>
      <c r="C386" s="13"/>
      <c r="D386" s="13"/>
      <c r="N386" s="14"/>
    </row>
    <row r="387" ht="14.25" customHeight="1">
      <c r="B387" s="13"/>
      <c r="C387" s="13"/>
      <c r="D387" s="13"/>
      <c r="N387" s="14"/>
    </row>
    <row r="388" ht="14.25" customHeight="1">
      <c r="B388" s="13"/>
      <c r="C388" s="13"/>
      <c r="D388" s="13"/>
      <c r="N388" s="14"/>
    </row>
    <row r="389" ht="14.25" customHeight="1">
      <c r="B389" s="13"/>
      <c r="C389" s="13"/>
      <c r="D389" s="13"/>
      <c r="N389" s="14"/>
    </row>
    <row r="390" ht="14.25" customHeight="1">
      <c r="B390" s="13"/>
      <c r="C390" s="13"/>
      <c r="D390" s="13"/>
      <c r="N390" s="14"/>
    </row>
    <row r="391" ht="14.25" customHeight="1">
      <c r="B391" s="13"/>
      <c r="C391" s="13"/>
      <c r="D391" s="13"/>
      <c r="N391" s="14"/>
    </row>
    <row r="392" ht="14.25" customHeight="1">
      <c r="B392" s="13"/>
      <c r="C392" s="13"/>
      <c r="D392" s="13"/>
      <c r="N392" s="14"/>
    </row>
    <row r="393" ht="14.25" customHeight="1">
      <c r="B393" s="13"/>
      <c r="C393" s="13"/>
      <c r="D393" s="13"/>
      <c r="N393" s="14"/>
    </row>
    <row r="394" ht="14.25" customHeight="1">
      <c r="B394" s="13"/>
      <c r="C394" s="13"/>
      <c r="D394" s="13"/>
      <c r="N394" s="14"/>
    </row>
    <row r="395" ht="14.25" customHeight="1">
      <c r="B395" s="13"/>
      <c r="C395" s="13"/>
      <c r="D395" s="13"/>
      <c r="N395" s="14"/>
    </row>
    <row r="396" ht="14.25" customHeight="1">
      <c r="B396" s="13"/>
      <c r="C396" s="13"/>
      <c r="D396" s="13"/>
      <c r="N396" s="14"/>
    </row>
    <row r="397" ht="14.25" customHeight="1">
      <c r="B397" s="13"/>
      <c r="C397" s="13"/>
      <c r="D397" s="13"/>
      <c r="N397" s="14"/>
    </row>
    <row r="398" ht="14.25" customHeight="1">
      <c r="B398" s="13"/>
      <c r="C398" s="13"/>
      <c r="D398" s="13"/>
      <c r="N398" s="14"/>
    </row>
    <row r="399" ht="14.25" customHeight="1">
      <c r="B399" s="13"/>
      <c r="C399" s="13"/>
      <c r="D399" s="13"/>
      <c r="N399" s="14"/>
    </row>
    <row r="400" ht="14.25" customHeight="1">
      <c r="B400" s="13"/>
      <c r="C400" s="13"/>
      <c r="D400" s="13"/>
      <c r="N400" s="14"/>
    </row>
    <row r="401" ht="14.25" customHeight="1">
      <c r="B401" s="13"/>
      <c r="C401" s="13"/>
      <c r="D401" s="13"/>
      <c r="N401" s="14"/>
    </row>
    <row r="402" ht="14.25" customHeight="1">
      <c r="B402" s="13"/>
      <c r="C402" s="13"/>
      <c r="D402" s="13"/>
      <c r="N402" s="14"/>
    </row>
    <row r="403" ht="14.25" customHeight="1">
      <c r="B403" s="13"/>
      <c r="C403" s="13"/>
      <c r="D403" s="13"/>
      <c r="N403" s="14"/>
    </row>
    <row r="404" ht="14.25" customHeight="1">
      <c r="B404" s="13"/>
      <c r="C404" s="13"/>
      <c r="D404" s="13"/>
      <c r="N404" s="14"/>
    </row>
    <row r="405" ht="14.25" customHeight="1">
      <c r="B405" s="13"/>
      <c r="C405" s="13"/>
      <c r="D405" s="13"/>
      <c r="N405" s="14"/>
    </row>
    <row r="406" ht="14.25" customHeight="1">
      <c r="B406" s="13"/>
      <c r="C406" s="13"/>
      <c r="D406" s="13"/>
      <c r="N406" s="14"/>
    </row>
    <row r="407" ht="14.25" customHeight="1">
      <c r="B407" s="13"/>
      <c r="C407" s="13"/>
      <c r="D407" s="13"/>
      <c r="N407" s="14"/>
    </row>
    <row r="408" ht="14.25" customHeight="1">
      <c r="B408" s="13"/>
      <c r="C408" s="13"/>
      <c r="D408" s="13"/>
      <c r="N408" s="14"/>
    </row>
    <row r="409" ht="14.25" customHeight="1">
      <c r="B409" s="13"/>
      <c r="C409" s="13"/>
      <c r="D409" s="13"/>
      <c r="N409" s="14"/>
    </row>
    <row r="410" ht="14.25" customHeight="1">
      <c r="B410" s="13"/>
      <c r="C410" s="13"/>
      <c r="D410" s="13"/>
      <c r="N410" s="14"/>
    </row>
    <row r="411" ht="14.25" customHeight="1">
      <c r="B411" s="13"/>
      <c r="C411" s="13"/>
      <c r="D411" s="13"/>
      <c r="N411" s="14"/>
    </row>
    <row r="412" ht="14.25" customHeight="1">
      <c r="B412" s="13"/>
      <c r="C412" s="13"/>
      <c r="D412" s="13"/>
      <c r="N412" s="14"/>
    </row>
    <row r="413" ht="14.25" customHeight="1">
      <c r="B413" s="13"/>
      <c r="C413" s="13"/>
      <c r="D413" s="13"/>
      <c r="N413" s="14"/>
    </row>
    <row r="414" ht="14.25" customHeight="1">
      <c r="B414" s="13"/>
      <c r="C414" s="13"/>
      <c r="D414" s="13"/>
      <c r="N414" s="14"/>
    </row>
    <row r="415" ht="14.25" customHeight="1">
      <c r="B415" s="13"/>
      <c r="C415" s="13"/>
      <c r="D415" s="13"/>
      <c r="N415" s="14"/>
    </row>
    <row r="416" ht="14.25" customHeight="1">
      <c r="B416" s="13"/>
      <c r="C416" s="13"/>
      <c r="D416" s="13"/>
      <c r="N416" s="14"/>
    </row>
    <row r="417" ht="14.25" customHeight="1">
      <c r="B417" s="13"/>
      <c r="C417" s="13"/>
      <c r="D417" s="13"/>
      <c r="N417" s="14"/>
    </row>
    <row r="418" ht="14.25" customHeight="1">
      <c r="B418" s="13"/>
      <c r="C418" s="13"/>
      <c r="D418" s="13"/>
      <c r="N418" s="14"/>
    </row>
    <row r="419" ht="14.25" customHeight="1">
      <c r="B419" s="13"/>
      <c r="C419" s="13"/>
      <c r="D419" s="13"/>
      <c r="N419" s="14"/>
    </row>
    <row r="420" ht="14.25" customHeight="1">
      <c r="B420" s="13"/>
      <c r="C420" s="13"/>
      <c r="D420" s="13"/>
      <c r="N420" s="14"/>
    </row>
    <row r="421" ht="14.25" customHeight="1">
      <c r="B421" s="13"/>
      <c r="C421" s="13"/>
      <c r="D421" s="13"/>
      <c r="N421" s="14"/>
    </row>
    <row r="422" ht="14.25" customHeight="1">
      <c r="B422" s="13"/>
      <c r="C422" s="13"/>
      <c r="D422" s="13"/>
      <c r="N422" s="14"/>
    </row>
    <row r="423" ht="14.25" customHeight="1">
      <c r="B423" s="13"/>
      <c r="C423" s="13"/>
      <c r="D423" s="13"/>
      <c r="N423" s="14"/>
    </row>
    <row r="424" ht="14.25" customHeight="1">
      <c r="B424" s="13"/>
      <c r="C424" s="13"/>
      <c r="D424" s="13"/>
      <c r="N424" s="14"/>
    </row>
    <row r="425" ht="14.25" customHeight="1">
      <c r="B425" s="13"/>
      <c r="C425" s="13"/>
      <c r="D425" s="13"/>
      <c r="N425" s="14"/>
    </row>
    <row r="426" ht="14.25" customHeight="1">
      <c r="B426" s="13"/>
      <c r="C426" s="13"/>
      <c r="D426" s="13"/>
      <c r="N426" s="14"/>
    </row>
    <row r="427" ht="14.25" customHeight="1">
      <c r="B427" s="13"/>
      <c r="C427" s="13"/>
      <c r="D427" s="13"/>
      <c r="N427" s="14"/>
    </row>
    <row r="428" ht="14.25" customHeight="1">
      <c r="B428" s="13"/>
      <c r="C428" s="13"/>
      <c r="D428" s="13"/>
      <c r="N428" s="14"/>
    </row>
    <row r="429" ht="14.25" customHeight="1">
      <c r="B429" s="13"/>
      <c r="C429" s="13"/>
      <c r="D429" s="13"/>
      <c r="N429" s="14"/>
    </row>
    <row r="430" ht="14.25" customHeight="1">
      <c r="B430" s="13"/>
      <c r="C430" s="13"/>
      <c r="D430" s="13"/>
      <c r="N430" s="14"/>
    </row>
    <row r="431" ht="14.25" customHeight="1">
      <c r="B431" s="13"/>
      <c r="C431" s="13"/>
      <c r="D431" s="13"/>
      <c r="N431" s="14"/>
    </row>
    <row r="432" ht="14.25" customHeight="1">
      <c r="B432" s="13"/>
      <c r="C432" s="13"/>
      <c r="D432" s="13"/>
      <c r="N432" s="14"/>
    </row>
    <row r="433" ht="14.25" customHeight="1">
      <c r="B433" s="13"/>
      <c r="C433" s="13"/>
      <c r="D433" s="13"/>
      <c r="N433" s="14"/>
    </row>
    <row r="434" ht="14.25" customHeight="1">
      <c r="B434" s="13"/>
      <c r="C434" s="13"/>
      <c r="D434" s="13"/>
      <c r="N434" s="14"/>
    </row>
    <row r="435" ht="14.25" customHeight="1">
      <c r="B435" s="13"/>
      <c r="C435" s="13"/>
      <c r="D435" s="13"/>
      <c r="N435" s="14"/>
    </row>
    <row r="436" ht="14.25" customHeight="1">
      <c r="B436" s="13"/>
      <c r="C436" s="13"/>
      <c r="D436" s="13"/>
      <c r="N436" s="14"/>
    </row>
    <row r="437" ht="14.25" customHeight="1">
      <c r="B437" s="13"/>
      <c r="C437" s="13"/>
      <c r="D437" s="13"/>
      <c r="N437" s="14"/>
    </row>
    <row r="438" ht="14.25" customHeight="1">
      <c r="B438" s="13"/>
      <c r="C438" s="13"/>
      <c r="D438" s="13"/>
      <c r="N438" s="14"/>
    </row>
    <row r="439" ht="14.25" customHeight="1">
      <c r="B439" s="13"/>
      <c r="C439" s="13"/>
      <c r="D439" s="13"/>
      <c r="N439" s="14"/>
    </row>
    <row r="440" ht="14.25" customHeight="1">
      <c r="B440" s="13"/>
      <c r="C440" s="13"/>
      <c r="D440" s="13"/>
      <c r="N440" s="14"/>
    </row>
    <row r="441" ht="14.25" customHeight="1">
      <c r="B441" s="13"/>
      <c r="C441" s="13"/>
      <c r="D441" s="13"/>
      <c r="N441" s="14"/>
    </row>
    <row r="442" ht="14.25" customHeight="1">
      <c r="B442" s="13"/>
      <c r="C442" s="13"/>
      <c r="D442" s="13"/>
      <c r="N442" s="14"/>
    </row>
    <row r="443" ht="14.25" customHeight="1">
      <c r="B443" s="13"/>
      <c r="C443" s="13"/>
      <c r="D443" s="13"/>
      <c r="N443" s="14"/>
    </row>
    <row r="444" ht="14.25" customHeight="1">
      <c r="B444" s="13"/>
      <c r="C444" s="13"/>
      <c r="D444" s="13"/>
      <c r="N444" s="14"/>
    </row>
    <row r="445" ht="14.25" customHeight="1">
      <c r="B445" s="13"/>
      <c r="C445" s="13"/>
      <c r="D445" s="13"/>
      <c r="N445" s="14"/>
    </row>
    <row r="446" ht="14.25" customHeight="1">
      <c r="B446" s="13"/>
      <c r="C446" s="13"/>
      <c r="D446" s="13"/>
      <c r="N446" s="14"/>
    </row>
    <row r="447" ht="14.25" customHeight="1">
      <c r="B447" s="13"/>
      <c r="C447" s="13"/>
      <c r="D447" s="13"/>
      <c r="N447" s="14"/>
    </row>
    <row r="448" ht="14.25" customHeight="1">
      <c r="B448" s="13"/>
      <c r="C448" s="13"/>
      <c r="D448" s="13"/>
      <c r="N448" s="14"/>
    </row>
    <row r="449" ht="14.25" customHeight="1">
      <c r="B449" s="13"/>
      <c r="C449" s="13"/>
      <c r="D449" s="13"/>
      <c r="N449" s="14"/>
    </row>
    <row r="450" ht="14.25" customHeight="1">
      <c r="B450" s="13"/>
      <c r="C450" s="13"/>
      <c r="D450" s="13"/>
      <c r="N450" s="14"/>
    </row>
    <row r="451" ht="14.25" customHeight="1">
      <c r="B451" s="13"/>
      <c r="C451" s="13"/>
      <c r="D451" s="13"/>
      <c r="N451" s="14"/>
    </row>
    <row r="452" ht="14.25" customHeight="1">
      <c r="B452" s="13"/>
      <c r="C452" s="13"/>
      <c r="D452" s="13"/>
      <c r="N452" s="14"/>
    </row>
    <row r="453" ht="14.25" customHeight="1">
      <c r="B453" s="13"/>
      <c r="C453" s="13"/>
      <c r="D453" s="13"/>
      <c r="N453" s="14"/>
    </row>
    <row r="454" ht="14.25" customHeight="1">
      <c r="B454" s="13"/>
      <c r="C454" s="13"/>
      <c r="D454" s="13"/>
      <c r="N454" s="14"/>
    </row>
    <row r="455" ht="14.25" customHeight="1">
      <c r="B455" s="13"/>
      <c r="C455" s="13"/>
      <c r="D455" s="13"/>
      <c r="N455" s="14"/>
    </row>
    <row r="456" ht="14.25" customHeight="1">
      <c r="B456" s="13"/>
      <c r="C456" s="13"/>
      <c r="D456" s="13"/>
      <c r="N456" s="14"/>
    </row>
    <row r="457" ht="14.25" customHeight="1">
      <c r="B457" s="13"/>
      <c r="C457" s="13"/>
      <c r="D457" s="13"/>
      <c r="N457" s="14"/>
    </row>
    <row r="458" ht="14.25" customHeight="1">
      <c r="B458" s="13"/>
      <c r="C458" s="13"/>
      <c r="D458" s="13"/>
      <c r="N458" s="14"/>
    </row>
    <row r="459" ht="14.25" customHeight="1">
      <c r="B459" s="13"/>
      <c r="C459" s="13"/>
      <c r="D459" s="13"/>
      <c r="N459" s="14"/>
    </row>
    <row r="460" ht="14.25" customHeight="1">
      <c r="B460" s="13"/>
      <c r="C460" s="13"/>
      <c r="D460" s="13"/>
      <c r="N460" s="14"/>
    </row>
    <row r="461" ht="14.25" customHeight="1">
      <c r="B461" s="13"/>
      <c r="C461" s="13"/>
      <c r="D461" s="13"/>
      <c r="N461" s="14"/>
    </row>
    <row r="462" ht="14.25" customHeight="1">
      <c r="B462" s="13"/>
      <c r="C462" s="13"/>
      <c r="D462" s="13"/>
      <c r="N462" s="14"/>
    </row>
    <row r="463" ht="14.25" customHeight="1">
      <c r="B463" s="13"/>
      <c r="C463" s="13"/>
      <c r="D463" s="13"/>
      <c r="N463" s="14"/>
    </row>
    <row r="464" ht="14.25" customHeight="1">
      <c r="B464" s="13"/>
      <c r="C464" s="13"/>
      <c r="D464" s="13"/>
      <c r="N464" s="14"/>
    </row>
    <row r="465" ht="14.25" customHeight="1">
      <c r="B465" s="13"/>
      <c r="C465" s="13"/>
      <c r="D465" s="13"/>
      <c r="N465" s="14"/>
    </row>
    <row r="466" ht="14.25" customHeight="1">
      <c r="B466" s="13"/>
      <c r="C466" s="13"/>
      <c r="D466" s="13"/>
      <c r="N466" s="14"/>
    </row>
    <row r="467" ht="14.25" customHeight="1">
      <c r="B467" s="13"/>
      <c r="C467" s="13"/>
      <c r="D467" s="13"/>
      <c r="N467" s="14"/>
    </row>
    <row r="468" ht="14.25" customHeight="1">
      <c r="B468" s="13"/>
      <c r="C468" s="13"/>
      <c r="D468" s="13"/>
      <c r="N468" s="14"/>
    </row>
    <row r="469" ht="14.25" customHeight="1">
      <c r="B469" s="13"/>
      <c r="C469" s="13"/>
      <c r="D469" s="13"/>
      <c r="N469" s="14"/>
    </row>
    <row r="470" ht="14.25" customHeight="1">
      <c r="B470" s="13"/>
      <c r="C470" s="13"/>
      <c r="D470" s="13"/>
      <c r="N470" s="14"/>
    </row>
    <row r="471" ht="14.25" customHeight="1">
      <c r="B471" s="13"/>
      <c r="C471" s="13"/>
      <c r="D471" s="13"/>
      <c r="N471" s="14"/>
    </row>
    <row r="472" ht="14.25" customHeight="1">
      <c r="B472" s="13"/>
      <c r="C472" s="13"/>
      <c r="D472" s="13"/>
      <c r="N472" s="14"/>
    </row>
    <row r="473" ht="14.25" customHeight="1">
      <c r="B473" s="13"/>
      <c r="C473" s="13"/>
      <c r="D473" s="13"/>
      <c r="N473" s="14"/>
    </row>
    <row r="474" ht="14.25" customHeight="1">
      <c r="B474" s="13"/>
      <c r="C474" s="13"/>
      <c r="D474" s="13"/>
      <c r="N474" s="14"/>
    </row>
    <row r="475" ht="14.25" customHeight="1">
      <c r="B475" s="13"/>
      <c r="C475" s="13"/>
      <c r="D475" s="13"/>
      <c r="N475" s="14"/>
    </row>
    <row r="476" ht="14.25" customHeight="1">
      <c r="B476" s="13"/>
      <c r="C476" s="13"/>
      <c r="D476" s="13"/>
      <c r="N476" s="14"/>
    </row>
    <row r="477" ht="14.25" customHeight="1">
      <c r="B477" s="13"/>
      <c r="C477" s="13"/>
      <c r="D477" s="13"/>
      <c r="N477" s="14"/>
    </row>
    <row r="478" ht="14.25" customHeight="1">
      <c r="B478" s="13"/>
      <c r="C478" s="13"/>
      <c r="D478" s="13"/>
      <c r="N478" s="14"/>
    </row>
    <row r="479" ht="14.25" customHeight="1">
      <c r="B479" s="13"/>
      <c r="C479" s="13"/>
      <c r="D479" s="13"/>
      <c r="N479" s="14"/>
    </row>
    <row r="480" ht="14.25" customHeight="1">
      <c r="B480" s="13"/>
      <c r="C480" s="13"/>
      <c r="D480" s="13"/>
      <c r="N480" s="14"/>
    </row>
    <row r="481" ht="14.25" customHeight="1">
      <c r="B481" s="13"/>
      <c r="C481" s="13"/>
      <c r="D481" s="13"/>
      <c r="N481" s="14"/>
    </row>
    <row r="482" ht="14.25" customHeight="1">
      <c r="B482" s="13"/>
      <c r="C482" s="13"/>
      <c r="D482" s="13"/>
      <c r="N482" s="14"/>
    </row>
    <row r="483" ht="14.25" customHeight="1">
      <c r="B483" s="13"/>
      <c r="C483" s="13"/>
      <c r="D483" s="13"/>
      <c r="N483" s="14"/>
    </row>
    <row r="484" ht="14.25" customHeight="1">
      <c r="B484" s="13"/>
      <c r="C484" s="13"/>
      <c r="D484" s="13"/>
      <c r="N484" s="14"/>
    </row>
    <row r="485" ht="14.25" customHeight="1">
      <c r="B485" s="13"/>
      <c r="C485" s="13"/>
      <c r="D485" s="13"/>
      <c r="N485" s="14"/>
    </row>
    <row r="486" ht="14.25" customHeight="1">
      <c r="B486" s="13"/>
      <c r="C486" s="13"/>
      <c r="D486" s="13"/>
      <c r="N486" s="14"/>
    </row>
    <row r="487" ht="14.25" customHeight="1">
      <c r="B487" s="13"/>
      <c r="C487" s="13"/>
      <c r="D487" s="13"/>
      <c r="N487" s="14"/>
    </row>
    <row r="488" ht="14.25" customHeight="1">
      <c r="B488" s="13"/>
      <c r="C488" s="13"/>
      <c r="D488" s="13"/>
      <c r="N488" s="14"/>
    </row>
    <row r="489" ht="14.25" customHeight="1">
      <c r="B489" s="13"/>
      <c r="C489" s="13"/>
      <c r="D489" s="13"/>
      <c r="N489" s="14"/>
    </row>
    <row r="490" ht="14.25" customHeight="1">
      <c r="B490" s="13"/>
      <c r="C490" s="13"/>
      <c r="D490" s="13"/>
      <c r="N490" s="14"/>
    </row>
    <row r="491" ht="14.25" customHeight="1">
      <c r="B491" s="13"/>
      <c r="C491" s="13"/>
      <c r="D491" s="13"/>
      <c r="N491" s="14"/>
    </row>
    <row r="492" ht="14.25" customHeight="1">
      <c r="B492" s="13"/>
      <c r="C492" s="13"/>
      <c r="D492" s="13"/>
      <c r="N492" s="14"/>
    </row>
    <row r="493" ht="14.25" customHeight="1">
      <c r="B493" s="13"/>
      <c r="C493" s="13"/>
      <c r="D493" s="13"/>
      <c r="N493" s="14"/>
    </row>
    <row r="494" ht="14.25" customHeight="1">
      <c r="B494" s="13"/>
      <c r="C494" s="13"/>
      <c r="D494" s="13"/>
      <c r="N494" s="14"/>
    </row>
    <row r="495" ht="14.25" customHeight="1">
      <c r="B495" s="13"/>
      <c r="C495" s="13"/>
      <c r="D495" s="13"/>
      <c r="N495" s="14"/>
    </row>
    <row r="496" ht="14.25" customHeight="1">
      <c r="B496" s="13"/>
      <c r="C496" s="13"/>
      <c r="D496" s="13"/>
      <c r="N496" s="14"/>
    </row>
    <row r="497" ht="14.25" customHeight="1">
      <c r="B497" s="13"/>
      <c r="C497" s="13"/>
      <c r="D497" s="13"/>
      <c r="N497" s="14"/>
    </row>
    <row r="498" ht="14.25" customHeight="1">
      <c r="B498" s="13"/>
      <c r="C498" s="13"/>
      <c r="D498" s="13"/>
      <c r="N498" s="14"/>
    </row>
    <row r="499" ht="14.25" customHeight="1">
      <c r="B499" s="13"/>
      <c r="C499" s="13"/>
      <c r="D499" s="13"/>
      <c r="N499" s="14"/>
    </row>
    <row r="500" ht="14.25" customHeight="1">
      <c r="B500" s="13"/>
      <c r="C500" s="13"/>
      <c r="D500" s="13"/>
      <c r="N500" s="14"/>
    </row>
    <row r="501" ht="14.25" customHeight="1">
      <c r="B501" s="13"/>
      <c r="C501" s="13"/>
      <c r="D501" s="13"/>
      <c r="N501" s="14"/>
    </row>
    <row r="502" ht="14.25" customHeight="1">
      <c r="B502" s="13"/>
      <c r="C502" s="13"/>
      <c r="D502" s="13"/>
      <c r="N502" s="14"/>
    </row>
    <row r="503" ht="14.25" customHeight="1">
      <c r="B503" s="13"/>
      <c r="C503" s="13"/>
      <c r="D503" s="13"/>
      <c r="N503" s="14"/>
    </row>
    <row r="504" ht="14.25" customHeight="1">
      <c r="B504" s="13"/>
      <c r="C504" s="13"/>
      <c r="D504" s="13"/>
      <c r="N504" s="14"/>
    </row>
    <row r="505" ht="14.25" customHeight="1">
      <c r="B505" s="13"/>
      <c r="C505" s="13"/>
      <c r="D505" s="13"/>
      <c r="N505" s="14"/>
    </row>
    <row r="506" ht="14.25" customHeight="1">
      <c r="B506" s="13"/>
      <c r="C506" s="13"/>
      <c r="D506" s="13"/>
      <c r="N506" s="14"/>
    </row>
    <row r="507" ht="14.25" customHeight="1">
      <c r="B507" s="13"/>
      <c r="C507" s="13"/>
      <c r="D507" s="13"/>
      <c r="N507" s="14"/>
    </row>
    <row r="508" ht="14.25" customHeight="1">
      <c r="B508" s="13"/>
      <c r="C508" s="13"/>
      <c r="D508" s="13"/>
      <c r="N508" s="14"/>
    </row>
    <row r="509" ht="14.25" customHeight="1">
      <c r="B509" s="13"/>
      <c r="C509" s="13"/>
      <c r="D509" s="13"/>
      <c r="N509" s="14"/>
    </row>
    <row r="510" ht="14.25" customHeight="1">
      <c r="B510" s="13"/>
      <c r="C510" s="13"/>
      <c r="D510" s="13"/>
      <c r="N510" s="14"/>
    </row>
    <row r="511" ht="14.25" customHeight="1">
      <c r="B511" s="13"/>
      <c r="C511" s="13"/>
      <c r="D511" s="13"/>
      <c r="N511" s="14"/>
    </row>
    <row r="512" ht="14.25" customHeight="1">
      <c r="B512" s="13"/>
      <c r="C512" s="13"/>
      <c r="D512" s="13"/>
      <c r="N512" s="14"/>
    </row>
    <row r="513" ht="14.25" customHeight="1">
      <c r="B513" s="13"/>
      <c r="C513" s="13"/>
      <c r="D513" s="13"/>
      <c r="N513" s="14"/>
    </row>
    <row r="514" ht="14.25" customHeight="1">
      <c r="B514" s="13"/>
      <c r="C514" s="13"/>
      <c r="D514" s="13"/>
      <c r="N514" s="14"/>
    </row>
    <row r="515" ht="14.25" customHeight="1">
      <c r="B515" s="13"/>
      <c r="C515" s="13"/>
      <c r="D515" s="13"/>
      <c r="N515" s="14"/>
    </row>
    <row r="516" ht="14.25" customHeight="1">
      <c r="B516" s="13"/>
      <c r="C516" s="13"/>
      <c r="D516" s="13"/>
      <c r="N516" s="14"/>
    </row>
    <row r="517" ht="14.25" customHeight="1">
      <c r="B517" s="13"/>
      <c r="C517" s="13"/>
      <c r="D517" s="13"/>
      <c r="N517" s="14"/>
    </row>
    <row r="518" ht="14.25" customHeight="1">
      <c r="B518" s="13"/>
      <c r="C518" s="13"/>
      <c r="D518" s="13"/>
      <c r="N518" s="14"/>
    </row>
    <row r="519" ht="14.25" customHeight="1">
      <c r="B519" s="13"/>
      <c r="C519" s="13"/>
      <c r="D519" s="13"/>
      <c r="N519" s="14"/>
    </row>
    <row r="520" ht="14.25" customHeight="1">
      <c r="B520" s="13"/>
      <c r="C520" s="13"/>
      <c r="D520" s="13"/>
      <c r="N520" s="14"/>
    </row>
    <row r="521" ht="14.25" customHeight="1">
      <c r="B521" s="13"/>
      <c r="C521" s="13"/>
      <c r="D521" s="13"/>
      <c r="N521" s="14"/>
    </row>
    <row r="522" ht="14.25" customHeight="1">
      <c r="B522" s="13"/>
      <c r="C522" s="13"/>
      <c r="D522" s="13"/>
      <c r="N522" s="14"/>
    </row>
    <row r="523" ht="14.25" customHeight="1">
      <c r="B523" s="13"/>
      <c r="C523" s="13"/>
      <c r="D523" s="13"/>
      <c r="N523" s="14"/>
    </row>
    <row r="524" ht="14.25" customHeight="1">
      <c r="B524" s="13"/>
      <c r="C524" s="13"/>
      <c r="D524" s="13"/>
      <c r="N524" s="14"/>
    </row>
    <row r="525" ht="14.25" customHeight="1">
      <c r="B525" s="13"/>
      <c r="C525" s="13"/>
      <c r="D525" s="13"/>
      <c r="N525" s="14"/>
    </row>
    <row r="526" ht="14.25" customHeight="1">
      <c r="B526" s="13"/>
      <c r="C526" s="13"/>
      <c r="D526" s="13"/>
      <c r="N526" s="14"/>
    </row>
    <row r="527" ht="14.25" customHeight="1">
      <c r="B527" s="13"/>
      <c r="C527" s="13"/>
      <c r="D527" s="13"/>
      <c r="N527" s="14"/>
    </row>
    <row r="528" ht="14.25" customHeight="1">
      <c r="B528" s="13"/>
      <c r="C528" s="13"/>
      <c r="D528" s="13"/>
      <c r="N528" s="14"/>
    </row>
    <row r="529" ht="14.25" customHeight="1">
      <c r="B529" s="13"/>
      <c r="C529" s="13"/>
      <c r="D529" s="13"/>
      <c r="N529" s="14"/>
    </row>
    <row r="530" ht="14.25" customHeight="1">
      <c r="B530" s="13"/>
      <c r="C530" s="13"/>
      <c r="D530" s="13"/>
      <c r="N530" s="14"/>
    </row>
    <row r="531" ht="14.25" customHeight="1">
      <c r="B531" s="13"/>
      <c r="C531" s="13"/>
      <c r="D531" s="13"/>
      <c r="N531" s="14"/>
    </row>
    <row r="532" ht="14.25" customHeight="1">
      <c r="B532" s="13"/>
      <c r="C532" s="13"/>
      <c r="D532" s="13"/>
      <c r="N532" s="14"/>
    </row>
    <row r="533" ht="14.25" customHeight="1">
      <c r="B533" s="13"/>
      <c r="C533" s="13"/>
      <c r="D533" s="13"/>
      <c r="N533" s="14"/>
    </row>
    <row r="534" ht="14.25" customHeight="1">
      <c r="B534" s="13"/>
      <c r="C534" s="13"/>
      <c r="D534" s="13"/>
      <c r="N534" s="14"/>
    </row>
    <row r="535" ht="14.25" customHeight="1">
      <c r="B535" s="13"/>
      <c r="C535" s="13"/>
      <c r="D535" s="13"/>
      <c r="N535" s="14"/>
    </row>
    <row r="536" ht="14.25" customHeight="1">
      <c r="B536" s="13"/>
      <c r="C536" s="13"/>
      <c r="D536" s="13"/>
      <c r="N536" s="14"/>
    </row>
    <row r="537" ht="14.25" customHeight="1">
      <c r="B537" s="13"/>
      <c r="C537" s="13"/>
      <c r="D537" s="13"/>
      <c r="N537" s="14"/>
    </row>
    <row r="538" ht="14.25" customHeight="1">
      <c r="B538" s="13"/>
      <c r="C538" s="13"/>
      <c r="D538" s="13"/>
      <c r="N538" s="14"/>
    </row>
    <row r="539" ht="14.25" customHeight="1">
      <c r="B539" s="13"/>
      <c r="C539" s="13"/>
      <c r="D539" s="13"/>
      <c r="N539" s="14"/>
    </row>
    <row r="540" ht="14.25" customHeight="1">
      <c r="B540" s="13"/>
      <c r="C540" s="13"/>
      <c r="D540" s="13"/>
      <c r="N540" s="14"/>
    </row>
    <row r="541" ht="14.25" customHeight="1">
      <c r="B541" s="13"/>
      <c r="C541" s="13"/>
      <c r="D541" s="13"/>
      <c r="N541" s="14"/>
    </row>
    <row r="542" ht="14.25" customHeight="1">
      <c r="B542" s="13"/>
      <c r="C542" s="13"/>
      <c r="D542" s="13"/>
      <c r="N542" s="14"/>
    </row>
    <row r="543" ht="14.25" customHeight="1">
      <c r="B543" s="13"/>
      <c r="C543" s="13"/>
      <c r="D543" s="13"/>
      <c r="N543" s="14"/>
    </row>
    <row r="544" ht="14.25" customHeight="1">
      <c r="B544" s="13"/>
      <c r="C544" s="13"/>
      <c r="D544" s="13"/>
      <c r="N544" s="14"/>
    </row>
    <row r="545" ht="14.25" customHeight="1">
      <c r="B545" s="13"/>
      <c r="C545" s="13"/>
      <c r="D545" s="13"/>
      <c r="N545" s="14"/>
    </row>
    <row r="546" ht="14.25" customHeight="1">
      <c r="B546" s="13"/>
      <c r="C546" s="13"/>
      <c r="D546" s="13"/>
      <c r="N546" s="14"/>
    </row>
    <row r="547" ht="14.25" customHeight="1">
      <c r="B547" s="13"/>
      <c r="C547" s="13"/>
      <c r="D547" s="13"/>
      <c r="N547" s="14"/>
    </row>
    <row r="548" ht="14.25" customHeight="1">
      <c r="B548" s="13"/>
      <c r="C548" s="13"/>
      <c r="D548" s="13"/>
      <c r="N548" s="14"/>
    </row>
    <row r="549" ht="14.25" customHeight="1">
      <c r="B549" s="13"/>
      <c r="C549" s="13"/>
      <c r="D549" s="13"/>
      <c r="N549" s="14"/>
    </row>
    <row r="550" ht="14.25" customHeight="1">
      <c r="B550" s="13"/>
      <c r="C550" s="13"/>
      <c r="D550" s="13"/>
      <c r="N550" s="14"/>
    </row>
    <row r="551" ht="14.25" customHeight="1">
      <c r="B551" s="13"/>
      <c r="C551" s="13"/>
      <c r="D551" s="13"/>
      <c r="N551" s="14"/>
    </row>
    <row r="552" ht="14.25" customHeight="1">
      <c r="B552" s="13"/>
      <c r="C552" s="13"/>
      <c r="D552" s="13"/>
      <c r="N552" s="14"/>
    </row>
    <row r="553" ht="14.25" customHeight="1">
      <c r="B553" s="13"/>
      <c r="C553" s="13"/>
      <c r="D553" s="13"/>
      <c r="N553" s="14"/>
    </row>
    <row r="554" ht="14.25" customHeight="1">
      <c r="B554" s="13"/>
      <c r="C554" s="13"/>
      <c r="D554" s="13"/>
      <c r="N554" s="14"/>
    </row>
    <row r="555" ht="14.25" customHeight="1">
      <c r="B555" s="13"/>
      <c r="C555" s="13"/>
      <c r="D555" s="13"/>
      <c r="N555" s="14"/>
    </row>
    <row r="556" ht="14.25" customHeight="1">
      <c r="B556" s="13"/>
      <c r="C556" s="13"/>
      <c r="D556" s="13"/>
      <c r="N556" s="14"/>
    </row>
    <row r="557" ht="14.25" customHeight="1">
      <c r="B557" s="13"/>
      <c r="C557" s="13"/>
      <c r="D557" s="13"/>
      <c r="N557" s="14"/>
    </row>
    <row r="558" ht="14.25" customHeight="1">
      <c r="B558" s="13"/>
      <c r="C558" s="13"/>
      <c r="D558" s="13"/>
      <c r="N558" s="14"/>
    </row>
    <row r="559" ht="14.25" customHeight="1">
      <c r="B559" s="13"/>
      <c r="C559" s="13"/>
      <c r="D559" s="13"/>
      <c r="N559" s="14"/>
    </row>
    <row r="560" ht="14.25" customHeight="1">
      <c r="B560" s="13"/>
      <c r="C560" s="13"/>
      <c r="D560" s="13"/>
      <c r="N560" s="14"/>
    </row>
    <row r="561" ht="14.25" customHeight="1">
      <c r="B561" s="13"/>
      <c r="C561" s="13"/>
      <c r="D561" s="13"/>
      <c r="N561" s="14"/>
    </row>
    <row r="562" ht="14.25" customHeight="1">
      <c r="B562" s="13"/>
      <c r="C562" s="13"/>
      <c r="D562" s="13"/>
      <c r="N562" s="14"/>
    </row>
    <row r="563" ht="14.25" customHeight="1">
      <c r="B563" s="13"/>
      <c r="C563" s="13"/>
      <c r="D563" s="13"/>
      <c r="N563" s="14"/>
    </row>
    <row r="564" ht="14.25" customHeight="1">
      <c r="B564" s="13"/>
      <c r="C564" s="13"/>
      <c r="D564" s="13"/>
      <c r="N564" s="14"/>
    </row>
    <row r="565" ht="14.25" customHeight="1">
      <c r="B565" s="13"/>
      <c r="C565" s="13"/>
      <c r="D565" s="13"/>
      <c r="N565" s="14"/>
    </row>
    <row r="566" ht="14.25" customHeight="1">
      <c r="B566" s="13"/>
      <c r="C566" s="13"/>
      <c r="D566" s="13"/>
      <c r="N566" s="14"/>
    </row>
    <row r="567" ht="14.25" customHeight="1">
      <c r="B567" s="13"/>
      <c r="C567" s="13"/>
      <c r="D567" s="13"/>
      <c r="N567" s="14"/>
    </row>
    <row r="568" ht="14.25" customHeight="1">
      <c r="B568" s="13"/>
      <c r="C568" s="13"/>
      <c r="D568" s="13"/>
      <c r="N568" s="14"/>
    </row>
    <row r="569" ht="14.25" customHeight="1">
      <c r="B569" s="13"/>
      <c r="C569" s="13"/>
      <c r="D569" s="13"/>
      <c r="N569" s="14"/>
    </row>
    <row r="570" ht="14.25" customHeight="1">
      <c r="B570" s="13"/>
      <c r="C570" s="13"/>
      <c r="D570" s="13"/>
      <c r="N570" s="14"/>
    </row>
    <row r="571" ht="14.25" customHeight="1">
      <c r="B571" s="13"/>
      <c r="C571" s="13"/>
      <c r="D571" s="13"/>
      <c r="N571" s="14"/>
    </row>
    <row r="572" ht="14.25" customHeight="1">
      <c r="B572" s="13"/>
      <c r="C572" s="13"/>
      <c r="D572" s="13"/>
      <c r="N572" s="14"/>
    </row>
    <row r="573" ht="14.25" customHeight="1">
      <c r="B573" s="13"/>
      <c r="C573" s="13"/>
      <c r="D573" s="13"/>
      <c r="N573" s="14"/>
    </row>
    <row r="574" ht="14.25" customHeight="1">
      <c r="B574" s="13"/>
      <c r="C574" s="13"/>
      <c r="D574" s="13"/>
      <c r="N574" s="14"/>
    </row>
    <row r="575" ht="14.25" customHeight="1">
      <c r="B575" s="13"/>
      <c r="C575" s="13"/>
      <c r="D575" s="13"/>
      <c r="N575" s="14"/>
    </row>
    <row r="576" ht="14.25" customHeight="1">
      <c r="B576" s="13"/>
      <c r="C576" s="13"/>
      <c r="D576" s="13"/>
      <c r="N576" s="14"/>
    </row>
    <row r="577" ht="14.25" customHeight="1">
      <c r="B577" s="13"/>
      <c r="C577" s="13"/>
      <c r="D577" s="13"/>
      <c r="N577" s="14"/>
    </row>
    <row r="578" ht="14.25" customHeight="1">
      <c r="B578" s="13"/>
      <c r="C578" s="13"/>
      <c r="D578" s="13"/>
      <c r="N578" s="14"/>
    </row>
    <row r="579" ht="14.25" customHeight="1">
      <c r="B579" s="13"/>
      <c r="C579" s="13"/>
      <c r="D579" s="13"/>
      <c r="N579" s="14"/>
    </row>
    <row r="580" ht="14.25" customHeight="1">
      <c r="B580" s="13"/>
      <c r="C580" s="13"/>
      <c r="D580" s="13"/>
      <c r="N580" s="14"/>
    </row>
    <row r="581" ht="14.25" customHeight="1">
      <c r="B581" s="13"/>
      <c r="C581" s="13"/>
      <c r="D581" s="13"/>
      <c r="N581" s="14"/>
    </row>
    <row r="582" ht="14.25" customHeight="1">
      <c r="B582" s="13"/>
      <c r="C582" s="13"/>
      <c r="D582" s="13"/>
      <c r="N582" s="14"/>
    </row>
    <row r="583" ht="14.25" customHeight="1">
      <c r="B583" s="13"/>
      <c r="C583" s="13"/>
      <c r="D583" s="13"/>
      <c r="N583" s="14"/>
    </row>
    <row r="584" ht="14.25" customHeight="1">
      <c r="B584" s="13"/>
      <c r="C584" s="13"/>
      <c r="D584" s="13"/>
      <c r="N584" s="14"/>
    </row>
    <row r="585" ht="14.25" customHeight="1">
      <c r="B585" s="13"/>
      <c r="C585" s="13"/>
      <c r="D585" s="13"/>
      <c r="N585" s="14"/>
    </row>
    <row r="586" ht="14.25" customHeight="1">
      <c r="B586" s="13"/>
      <c r="C586" s="13"/>
      <c r="D586" s="13"/>
      <c r="N586" s="14"/>
    </row>
    <row r="587" ht="14.25" customHeight="1">
      <c r="B587" s="13"/>
      <c r="C587" s="13"/>
      <c r="D587" s="13"/>
      <c r="N587" s="14"/>
    </row>
    <row r="588" ht="14.25" customHeight="1">
      <c r="B588" s="13"/>
      <c r="C588" s="13"/>
      <c r="D588" s="13"/>
      <c r="N588" s="14"/>
    </row>
    <row r="589" ht="14.25" customHeight="1">
      <c r="B589" s="13"/>
      <c r="C589" s="13"/>
      <c r="D589" s="13"/>
      <c r="N589" s="14"/>
    </row>
    <row r="590" ht="14.25" customHeight="1">
      <c r="B590" s="13"/>
      <c r="C590" s="13"/>
      <c r="D590" s="13"/>
      <c r="N590" s="14"/>
    </row>
    <row r="591" ht="14.25" customHeight="1">
      <c r="B591" s="13"/>
      <c r="C591" s="13"/>
      <c r="D591" s="13"/>
      <c r="N591" s="14"/>
    </row>
    <row r="592" ht="14.25" customHeight="1">
      <c r="B592" s="13"/>
      <c r="C592" s="13"/>
      <c r="D592" s="13"/>
      <c r="N592" s="14"/>
    </row>
    <row r="593" ht="14.25" customHeight="1">
      <c r="B593" s="13"/>
      <c r="C593" s="13"/>
      <c r="D593" s="13"/>
      <c r="N593" s="14"/>
    </row>
    <row r="594" ht="14.25" customHeight="1">
      <c r="B594" s="13"/>
      <c r="C594" s="13"/>
      <c r="D594" s="13"/>
      <c r="N594" s="14"/>
    </row>
    <row r="595" ht="14.25" customHeight="1">
      <c r="B595" s="13"/>
      <c r="C595" s="13"/>
      <c r="D595" s="13"/>
      <c r="N595" s="14"/>
    </row>
    <row r="596" ht="14.25" customHeight="1">
      <c r="B596" s="13"/>
      <c r="C596" s="13"/>
      <c r="D596" s="13"/>
      <c r="N596" s="14"/>
    </row>
    <row r="597" ht="14.25" customHeight="1">
      <c r="B597" s="13"/>
      <c r="C597" s="13"/>
      <c r="D597" s="13"/>
      <c r="N597" s="14"/>
    </row>
    <row r="598" ht="14.25" customHeight="1">
      <c r="B598" s="13"/>
      <c r="C598" s="13"/>
      <c r="D598" s="13"/>
      <c r="N598" s="14"/>
    </row>
    <row r="599" ht="14.25" customHeight="1">
      <c r="B599" s="13"/>
      <c r="C599" s="13"/>
      <c r="D599" s="13"/>
      <c r="N599" s="14"/>
    </row>
    <row r="600" ht="14.25" customHeight="1">
      <c r="B600" s="13"/>
      <c r="C600" s="13"/>
      <c r="D600" s="13"/>
      <c r="N600" s="14"/>
    </row>
    <row r="601" ht="14.25" customHeight="1">
      <c r="B601" s="13"/>
      <c r="C601" s="13"/>
      <c r="D601" s="13"/>
      <c r="N601" s="14"/>
    </row>
    <row r="602" ht="14.25" customHeight="1">
      <c r="B602" s="13"/>
      <c r="C602" s="13"/>
      <c r="D602" s="13"/>
      <c r="N602" s="14"/>
    </row>
    <row r="603" ht="14.25" customHeight="1">
      <c r="B603" s="13"/>
      <c r="C603" s="13"/>
      <c r="D603" s="13"/>
      <c r="N603" s="14"/>
    </row>
    <row r="604" ht="14.25" customHeight="1">
      <c r="B604" s="13"/>
      <c r="C604" s="13"/>
      <c r="D604" s="13"/>
      <c r="N604" s="14"/>
    </row>
    <row r="605" ht="14.25" customHeight="1">
      <c r="B605" s="13"/>
      <c r="C605" s="13"/>
      <c r="D605" s="13"/>
      <c r="N605" s="14"/>
    </row>
    <row r="606" ht="14.25" customHeight="1">
      <c r="B606" s="13"/>
      <c r="C606" s="13"/>
      <c r="D606" s="13"/>
      <c r="N606" s="14"/>
    </row>
    <row r="607" ht="14.25" customHeight="1">
      <c r="B607" s="13"/>
      <c r="C607" s="13"/>
      <c r="D607" s="13"/>
      <c r="N607" s="14"/>
    </row>
    <row r="608" ht="14.25" customHeight="1">
      <c r="B608" s="13"/>
      <c r="C608" s="13"/>
      <c r="D608" s="13"/>
      <c r="N608" s="14"/>
    </row>
    <row r="609" ht="14.25" customHeight="1">
      <c r="B609" s="13"/>
      <c r="C609" s="13"/>
      <c r="D609" s="13"/>
      <c r="N609" s="14"/>
    </row>
    <row r="610" ht="14.25" customHeight="1">
      <c r="B610" s="13"/>
      <c r="C610" s="13"/>
      <c r="D610" s="13"/>
      <c r="N610" s="14"/>
    </row>
    <row r="611" ht="14.25" customHeight="1">
      <c r="B611" s="13"/>
      <c r="C611" s="13"/>
      <c r="D611" s="13"/>
      <c r="N611" s="14"/>
    </row>
    <row r="612" ht="14.25" customHeight="1">
      <c r="B612" s="13"/>
      <c r="C612" s="13"/>
      <c r="D612" s="13"/>
      <c r="N612" s="14"/>
    </row>
    <row r="613" ht="14.25" customHeight="1">
      <c r="B613" s="13"/>
      <c r="C613" s="13"/>
      <c r="D613" s="13"/>
      <c r="N613" s="14"/>
    </row>
    <row r="614" ht="14.25" customHeight="1">
      <c r="B614" s="13"/>
      <c r="C614" s="13"/>
      <c r="D614" s="13"/>
      <c r="N614" s="14"/>
    </row>
    <row r="615" ht="14.25" customHeight="1">
      <c r="B615" s="13"/>
      <c r="C615" s="13"/>
      <c r="D615" s="13"/>
      <c r="N615" s="14"/>
    </row>
    <row r="616" ht="14.25" customHeight="1">
      <c r="B616" s="13"/>
      <c r="C616" s="13"/>
      <c r="D616" s="13"/>
      <c r="N616" s="14"/>
    </row>
    <row r="617" ht="14.25" customHeight="1">
      <c r="B617" s="13"/>
      <c r="C617" s="13"/>
      <c r="D617" s="13"/>
      <c r="N617" s="14"/>
    </row>
    <row r="618" ht="14.25" customHeight="1">
      <c r="B618" s="13"/>
      <c r="C618" s="13"/>
      <c r="D618" s="13"/>
      <c r="N618" s="14"/>
    </row>
    <row r="619" ht="14.25" customHeight="1">
      <c r="B619" s="13"/>
      <c r="C619" s="13"/>
      <c r="D619" s="13"/>
      <c r="N619" s="14"/>
    </row>
    <row r="620" ht="14.25" customHeight="1">
      <c r="B620" s="13"/>
      <c r="C620" s="13"/>
      <c r="D620" s="13"/>
      <c r="N620" s="14"/>
    </row>
    <row r="621" ht="14.25" customHeight="1">
      <c r="B621" s="13"/>
      <c r="C621" s="13"/>
      <c r="D621" s="13"/>
      <c r="N621" s="14"/>
    </row>
    <row r="622" ht="14.25" customHeight="1">
      <c r="B622" s="13"/>
      <c r="C622" s="13"/>
      <c r="D622" s="13"/>
      <c r="N622" s="14"/>
    </row>
    <row r="623" ht="14.25" customHeight="1">
      <c r="B623" s="13"/>
      <c r="C623" s="13"/>
      <c r="D623" s="13"/>
      <c r="N623" s="14"/>
    </row>
    <row r="624" ht="14.25" customHeight="1">
      <c r="B624" s="13"/>
      <c r="C624" s="13"/>
      <c r="D624" s="13"/>
      <c r="N624" s="14"/>
    </row>
    <row r="625" ht="14.25" customHeight="1">
      <c r="B625" s="13"/>
      <c r="C625" s="13"/>
      <c r="D625" s="13"/>
      <c r="N625" s="14"/>
    </row>
    <row r="626" ht="14.25" customHeight="1">
      <c r="B626" s="13"/>
      <c r="C626" s="13"/>
      <c r="D626" s="13"/>
      <c r="N626" s="14"/>
    </row>
    <row r="627" ht="14.25" customHeight="1">
      <c r="B627" s="13"/>
      <c r="C627" s="13"/>
      <c r="D627" s="13"/>
      <c r="N627" s="14"/>
    </row>
    <row r="628" ht="14.25" customHeight="1">
      <c r="B628" s="13"/>
      <c r="C628" s="13"/>
      <c r="D628" s="13"/>
      <c r="N628" s="14"/>
    </row>
    <row r="629" ht="14.25" customHeight="1">
      <c r="B629" s="13"/>
      <c r="C629" s="13"/>
      <c r="D629" s="13"/>
      <c r="N629" s="14"/>
    </row>
    <row r="630" ht="14.25" customHeight="1">
      <c r="B630" s="13"/>
      <c r="C630" s="13"/>
      <c r="D630" s="13"/>
      <c r="N630" s="14"/>
    </row>
    <row r="631" ht="14.25" customHeight="1">
      <c r="B631" s="13"/>
      <c r="C631" s="13"/>
      <c r="D631" s="13"/>
      <c r="N631" s="14"/>
    </row>
    <row r="632" ht="14.25" customHeight="1">
      <c r="B632" s="13"/>
      <c r="C632" s="13"/>
      <c r="D632" s="13"/>
      <c r="N632" s="14"/>
    </row>
    <row r="633" ht="14.25" customHeight="1">
      <c r="B633" s="13"/>
      <c r="C633" s="13"/>
      <c r="D633" s="13"/>
      <c r="N633" s="14"/>
    </row>
    <row r="634" ht="14.25" customHeight="1">
      <c r="B634" s="13"/>
      <c r="C634" s="13"/>
      <c r="D634" s="13"/>
      <c r="N634" s="14"/>
    </row>
    <row r="635" ht="14.25" customHeight="1">
      <c r="B635" s="13"/>
      <c r="C635" s="13"/>
      <c r="D635" s="13"/>
      <c r="N635" s="14"/>
    </row>
    <row r="636" ht="14.25" customHeight="1">
      <c r="B636" s="13"/>
      <c r="C636" s="13"/>
      <c r="D636" s="13"/>
      <c r="N636" s="14"/>
    </row>
    <row r="637" ht="14.25" customHeight="1">
      <c r="B637" s="13"/>
      <c r="C637" s="13"/>
      <c r="D637" s="13"/>
      <c r="N637" s="14"/>
    </row>
    <row r="638" ht="14.25" customHeight="1">
      <c r="B638" s="13"/>
      <c r="C638" s="13"/>
      <c r="D638" s="13"/>
      <c r="N638" s="14"/>
    </row>
    <row r="639" ht="14.25" customHeight="1">
      <c r="B639" s="13"/>
      <c r="C639" s="13"/>
      <c r="D639" s="13"/>
      <c r="N639" s="14"/>
    </row>
    <row r="640" ht="14.25" customHeight="1">
      <c r="B640" s="13"/>
      <c r="C640" s="13"/>
      <c r="D640" s="13"/>
      <c r="N640" s="14"/>
    </row>
    <row r="641" ht="14.25" customHeight="1">
      <c r="B641" s="13"/>
      <c r="C641" s="13"/>
      <c r="D641" s="13"/>
      <c r="N641" s="14"/>
    </row>
    <row r="642" ht="14.25" customHeight="1">
      <c r="B642" s="13"/>
      <c r="C642" s="13"/>
      <c r="D642" s="13"/>
      <c r="N642" s="14"/>
    </row>
    <row r="643" ht="14.25" customHeight="1">
      <c r="B643" s="13"/>
      <c r="C643" s="13"/>
      <c r="D643" s="13"/>
      <c r="N643" s="14"/>
    </row>
    <row r="644" ht="14.25" customHeight="1">
      <c r="B644" s="13"/>
      <c r="C644" s="13"/>
      <c r="D644" s="13"/>
      <c r="N644" s="14"/>
    </row>
    <row r="645" ht="14.25" customHeight="1">
      <c r="B645" s="13"/>
      <c r="C645" s="13"/>
      <c r="D645" s="13"/>
      <c r="N645" s="14"/>
    </row>
    <row r="646" ht="14.25" customHeight="1">
      <c r="B646" s="13"/>
      <c r="C646" s="13"/>
      <c r="D646" s="13"/>
      <c r="N646" s="14"/>
    </row>
    <row r="647" ht="14.25" customHeight="1">
      <c r="B647" s="13"/>
      <c r="C647" s="13"/>
      <c r="D647" s="13"/>
      <c r="N647" s="14"/>
    </row>
    <row r="648" ht="14.25" customHeight="1">
      <c r="B648" s="13"/>
      <c r="C648" s="13"/>
      <c r="D648" s="13"/>
      <c r="N648" s="14"/>
    </row>
    <row r="649" ht="14.25" customHeight="1">
      <c r="B649" s="13"/>
      <c r="C649" s="13"/>
      <c r="D649" s="13"/>
      <c r="N649" s="14"/>
    </row>
    <row r="650" ht="14.25" customHeight="1">
      <c r="B650" s="13"/>
      <c r="C650" s="13"/>
      <c r="D650" s="13"/>
      <c r="N650" s="14"/>
    </row>
    <row r="651" ht="14.25" customHeight="1">
      <c r="B651" s="13"/>
      <c r="C651" s="13"/>
      <c r="D651" s="13"/>
      <c r="N651" s="14"/>
    </row>
    <row r="652" ht="14.25" customHeight="1">
      <c r="B652" s="13"/>
      <c r="C652" s="13"/>
      <c r="D652" s="13"/>
      <c r="N652" s="14"/>
    </row>
    <row r="653" ht="14.25" customHeight="1">
      <c r="B653" s="13"/>
      <c r="C653" s="13"/>
      <c r="D653" s="13"/>
      <c r="N653" s="14"/>
    </row>
    <row r="654" ht="14.25" customHeight="1">
      <c r="B654" s="13"/>
      <c r="C654" s="13"/>
      <c r="D654" s="13"/>
      <c r="N654" s="14"/>
    </row>
    <row r="655" ht="14.25" customHeight="1">
      <c r="B655" s="13"/>
      <c r="C655" s="13"/>
      <c r="D655" s="13"/>
      <c r="N655" s="14"/>
    </row>
    <row r="656" ht="14.25" customHeight="1">
      <c r="B656" s="13"/>
      <c r="C656" s="13"/>
      <c r="D656" s="13"/>
      <c r="N656" s="14"/>
    </row>
    <row r="657" ht="14.25" customHeight="1">
      <c r="B657" s="13"/>
      <c r="C657" s="13"/>
      <c r="D657" s="13"/>
      <c r="N657" s="14"/>
    </row>
    <row r="658" ht="14.25" customHeight="1">
      <c r="B658" s="13"/>
      <c r="C658" s="13"/>
      <c r="D658" s="13"/>
      <c r="N658" s="14"/>
    </row>
    <row r="659" ht="14.25" customHeight="1">
      <c r="B659" s="13"/>
      <c r="C659" s="13"/>
      <c r="D659" s="13"/>
      <c r="N659" s="14"/>
    </row>
    <row r="660" ht="14.25" customHeight="1">
      <c r="B660" s="13"/>
      <c r="C660" s="13"/>
      <c r="D660" s="13"/>
      <c r="N660" s="14"/>
    </row>
    <row r="661" ht="14.25" customHeight="1">
      <c r="B661" s="13"/>
      <c r="C661" s="13"/>
      <c r="D661" s="13"/>
      <c r="N661" s="14"/>
    </row>
    <row r="662" ht="14.25" customHeight="1">
      <c r="B662" s="13"/>
      <c r="C662" s="13"/>
      <c r="D662" s="13"/>
      <c r="N662" s="14"/>
    </row>
    <row r="663" ht="14.25" customHeight="1">
      <c r="B663" s="13"/>
      <c r="C663" s="13"/>
      <c r="D663" s="13"/>
      <c r="N663" s="14"/>
    </row>
    <row r="664" ht="14.25" customHeight="1">
      <c r="B664" s="13"/>
      <c r="C664" s="13"/>
      <c r="D664" s="13"/>
      <c r="N664" s="14"/>
    </row>
    <row r="665" ht="14.25" customHeight="1">
      <c r="B665" s="13"/>
      <c r="C665" s="13"/>
      <c r="D665" s="13"/>
      <c r="N665" s="14"/>
    </row>
    <row r="666" ht="14.25" customHeight="1">
      <c r="B666" s="13"/>
      <c r="C666" s="13"/>
      <c r="D666" s="13"/>
      <c r="N666" s="14"/>
    </row>
    <row r="667" ht="14.25" customHeight="1">
      <c r="B667" s="13"/>
      <c r="C667" s="13"/>
      <c r="D667" s="13"/>
      <c r="N667" s="14"/>
    </row>
    <row r="668" ht="14.25" customHeight="1">
      <c r="B668" s="13"/>
      <c r="C668" s="13"/>
      <c r="D668" s="13"/>
      <c r="N668" s="14"/>
    </row>
    <row r="669" ht="14.25" customHeight="1">
      <c r="B669" s="13"/>
      <c r="C669" s="13"/>
      <c r="D669" s="13"/>
      <c r="N669" s="14"/>
    </row>
    <row r="670" ht="14.25" customHeight="1">
      <c r="B670" s="13"/>
      <c r="C670" s="13"/>
      <c r="D670" s="13"/>
      <c r="N670" s="14"/>
    </row>
    <row r="671" ht="14.25" customHeight="1">
      <c r="B671" s="13"/>
      <c r="C671" s="13"/>
      <c r="D671" s="13"/>
      <c r="N671" s="14"/>
    </row>
    <row r="672" ht="14.25" customHeight="1">
      <c r="B672" s="13"/>
      <c r="C672" s="13"/>
      <c r="D672" s="13"/>
      <c r="N672" s="14"/>
    </row>
    <row r="673" ht="14.25" customHeight="1">
      <c r="B673" s="13"/>
      <c r="C673" s="13"/>
      <c r="D673" s="13"/>
      <c r="N673" s="14"/>
    </row>
    <row r="674" ht="14.25" customHeight="1">
      <c r="B674" s="13"/>
      <c r="C674" s="13"/>
      <c r="D674" s="13"/>
      <c r="N674" s="14"/>
    </row>
    <row r="675" ht="14.25" customHeight="1">
      <c r="B675" s="13"/>
      <c r="C675" s="13"/>
      <c r="D675" s="13"/>
      <c r="N675" s="14"/>
    </row>
    <row r="676" ht="14.25" customHeight="1">
      <c r="B676" s="13"/>
      <c r="C676" s="13"/>
      <c r="D676" s="13"/>
      <c r="N676" s="14"/>
    </row>
    <row r="677" ht="14.25" customHeight="1">
      <c r="B677" s="13"/>
      <c r="C677" s="13"/>
      <c r="D677" s="13"/>
      <c r="N677" s="14"/>
    </row>
    <row r="678" ht="14.25" customHeight="1">
      <c r="B678" s="13"/>
      <c r="C678" s="13"/>
      <c r="D678" s="13"/>
      <c r="N678" s="14"/>
    </row>
    <row r="679" ht="14.25" customHeight="1">
      <c r="B679" s="13"/>
      <c r="C679" s="13"/>
      <c r="D679" s="13"/>
      <c r="N679" s="14"/>
    </row>
    <row r="680" ht="14.25" customHeight="1">
      <c r="B680" s="13"/>
      <c r="C680" s="13"/>
      <c r="D680" s="13"/>
      <c r="N680" s="14"/>
    </row>
    <row r="681" ht="14.25" customHeight="1">
      <c r="B681" s="13"/>
      <c r="C681" s="13"/>
      <c r="D681" s="13"/>
      <c r="N681" s="14"/>
    </row>
    <row r="682" ht="14.25" customHeight="1">
      <c r="B682" s="13"/>
      <c r="C682" s="13"/>
      <c r="D682" s="13"/>
      <c r="N682" s="14"/>
    </row>
    <row r="683" ht="14.25" customHeight="1">
      <c r="B683" s="13"/>
      <c r="C683" s="13"/>
      <c r="D683" s="13"/>
      <c r="N683" s="14"/>
    </row>
    <row r="684" ht="14.25" customHeight="1">
      <c r="B684" s="13"/>
      <c r="C684" s="13"/>
      <c r="D684" s="13"/>
      <c r="N684" s="14"/>
    </row>
    <row r="685" ht="14.25" customHeight="1">
      <c r="B685" s="13"/>
      <c r="C685" s="13"/>
      <c r="D685" s="13"/>
      <c r="N685" s="14"/>
    </row>
    <row r="686" ht="14.25" customHeight="1">
      <c r="B686" s="13"/>
      <c r="C686" s="13"/>
      <c r="D686" s="13"/>
      <c r="N686" s="14"/>
    </row>
    <row r="687" ht="14.25" customHeight="1">
      <c r="B687" s="13"/>
      <c r="C687" s="13"/>
      <c r="D687" s="13"/>
      <c r="N687" s="14"/>
    </row>
    <row r="688" ht="14.25" customHeight="1">
      <c r="B688" s="13"/>
      <c r="C688" s="13"/>
      <c r="D688" s="13"/>
      <c r="N688" s="14"/>
    </row>
    <row r="689" ht="14.25" customHeight="1">
      <c r="B689" s="13"/>
      <c r="C689" s="13"/>
      <c r="D689" s="13"/>
      <c r="N689" s="14"/>
    </row>
    <row r="690" ht="14.25" customHeight="1">
      <c r="B690" s="13"/>
      <c r="C690" s="13"/>
      <c r="D690" s="13"/>
      <c r="N690" s="14"/>
    </row>
    <row r="691" ht="14.25" customHeight="1">
      <c r="B691" s="13"/>
      <c r="C691" s="13"/>
      <c r="D691" s="13"/>
      <c r="N691" s="14"/>
    </row>
    <row r="692" ht="14.25" customHeight="1">
      <c r="B692" s="13"/>
      <c r="C692" s="13"/>
      <c r="D692" s="13"/>
      <c r="N692" s="14"/>
    </row>
    <row r="693" ht="14.25" customHeight="1">
      <c r="B693" s="13"/>
      <c r="C693" s="13"/>
      <c r="D693" s="13"/>
      <c r="N693" s="14"/>
    </row>
    <row r="694" ht="14.25" customHeight="1">
      <c r="B694" s="13"/>
      <c r="C694" s="13"/>
      <c r="D694" s="13"/>
      <c r="N694" s="14"/>
    </row>
    <row r="695" ht="14.25" customHeight="1">
      <c r="B695" s="13"/>
      <c r="C695" s="13"/>
      <c r="D695" s="13"/>
      <c r="N695" s="14"/>
    </row>
    <row r="696" ht="14.25" customHeight="1">
      <c r="B696" s="13"/>
      <c r="C696" s="13"/>
      <c r="D696" s="13"/>
      <c r="N696" s="14"/>
    </row>
    <row r="697" ht="14.25" customHeight="1">
      <c r="B697" s="13"/>
      <c r="C697" s="13"/>
      <c r="D697" s="13"/>
      <c r="N697" s="14"/>
    </row>
    <row r="698" ht="14.25" customHeight="1">
      <c r="B698" s="13"/>
      <c r="C698" s="13"/>
      <c r="D698" s="13"/>
      <c r="N698" s="14"/>
    </row>
    <row r="699" ht="14.25" customHeight="1">
      <c r="B699" s="13"/>
      <c r="C699" s="13"/>
      <c r="D699" s="13"/>
      <c r="N699" s="14"/>
    </row>
    <row r="700" ht="14.25" customHeight="1">
      <c r="B700" s="13"/>
      <c r="C700" s="13"/>
      <c r="D700" s="13"/>
      <c r="N700" s="14"/>
    </row>
    <row r="701" ht="14.25" customHeight="1">
      <c r="B701" s="13"/>
      <c r="C701" s="13"/>
      <c r="D701" s="13"/>
      <c r="N701" s="14"/>
    </row>
    <row r="702" ht="14.25" customHeight="1">
      <c r="B702" s="13"/>
      <c r="C702" s="13"/>
      <c r="D702" s="13"/>
      <c r="N702" s="14"/>
    </row>
    <row r="703" ht="14.25" customHeight="1">
      <c r="B703" s="13"/>
      <c r="C703" s="13"/>
      <c r="D703" s="13"/>
      <c r="N703" s="14"/>
    </row>
    <row r="704" ht="14.25" customHeight="1">
      <c r="B704" s="13"/>
      <c r="C704" s="13"/>
      <c r="D704" s="13"/>
      <c r="N704" s="14"/>
    </row>
    <row r="705" ht="14.25" customHeight="1">
      <c r="B705" s="13"/>
      <c r="C705" s="13"/>
      <c r="D705" s="13"/>
      <c r="N705" s="14"/>
    </row>
    <row r="706" ht="14.25" customHeight="1">
      <c r="B706" s="13"/>
      <c r="C706" s="13"/>
      <c r="D706" s="13"/>
      <c r="N706" s="14"/>
    </row>
    <row r="707" ht="14.25" customHeight="1">
      <c r="B707" s="13"/>
      <c r="C707" s="13"/>
      <c r="D707" s="13"/>
      <c r="N707" s="14"/>
    </row>
    <row r="708" ht="14.25" customHeight="1">
      <c r="B708" s="13"/>
      <c r="C708" s="13"/>
      <c r="D708" s="13"/>
      <c r="N708" s="14"/>
    </row>
    <row r="709" ht="14.25" customHeight="1">
      <c r="B709" s="13"/>
      <c r="C709" s="13"/>
      <c r="D709" s="13"/>
      <c r="N709" s="14"/>
    </row>
    <row r="710" ht="14.25" customHeight="1">
      <c r="B710" s="13"/>
      <c r="C710" s="13"/>
      <c r="D710" s="13"/>
      <c r="N710" s="14"/>
    </row>
    <row r="711" ht="14.25" customHeight="1">
      <c r="B711" s="13"/>
      <c r="C711" s="13"/>
      <c r="D711" s="13"/>
      <c r="N711" s="14"/>
    </row>
    <row r="712" ht="14.25" customHeight="1">
      <c r="B712" s="13"/>
      <c r="C712" s="13"/>
      <c r="D712" s="13"/>
      <c r="N712" s="14"/>
    </row>
    <row r="713" ht="14.25" customHeight="1">
      <c r="B713" s="13"/>
      <c r="C713" s="13"/>
      <c r="D713" s="13"/>
      <c r="N713" s="14"/>
    </row>
    <row r="714" ht="14.25" customHeight="1">
      <c r="B714" s="13"/>
      <c r="C714" s="13"/>
      <c r="D714" s="13"/>
      <c r="N714" s="14"/>
    </row>
    <row r="715" ht="14.25" customHeight="1">
      <c r="B715" s="13"/>
      <c r="C715" s="13"/>
      <c r="D715" s="13"/>
      <c r="N715" s="14"/>
    </row>
    <row r="716" ht="14.25" customHeight="1">
      <c r="B716" s="13"/>
      <c r="C716" s="13"/>
      <c r="D716" s="13"/>
      <c r="N716" s="14"/>
    </row>
    <row r="717" ht="14.25" customHeight="1">
      <c r="B717" s="13"/>
      <c r="C717" s="13"/>
      <c r="D717" s="13"/>
      <c r="N717" s="14"/>
    </row>
    <row r="718" ht="14.25" customHeight="1">
      <c r="B718" s="13"/>
      <c r="C718" s="13"/>
      <c r="D718" s="13"/>
      <c r="N718" s="14"/>
    </row>
    <row r="719" ht="14.25" customHeight="1">
      <c r="B719" s="13"/>
      <c r="C719" s="13"/>
      <c r="D719" s="13"/>
      <c r="N719" s="14"/>
    </row>
    <row r="720" ht="14.25" customHeight="1">
      <c r="B720" s="13"/>
      <c r="C720" s="13"/>
      <c r="D720" s="13"/>
      <c r="N720" s="14"/>
    </row>
    <row r="721" ht="14.25" customHeight="1">
      <c r="B721" s="13"/>
      <c r="C721" s="13"/>
      <c r="D721" s="13"/>
      <c r="N721" s="14"/>
    </row>
    <row r="722" ht="14.25" customHeight="1">
      <c r="B722" s="13"/>
      <c r="C722" s="13"/>
      <c r="D722" s="13"/>
      <c r="N722" s="14"/>
    </row>
    <row r="723" ht="14.25" customHeight="1">
      <c r="B723" s="13"/>
      <c r="C723" s="13"/>
      <c r="D723" s="13"/>
      <c r="N723" s="14"/>
    </row>
    <row r="724" ht="14.25" customHeight="1">
      <c r="B724" s="13"/>
      <c r="C724" s="13"/>
      <c r="D724" s="13"/>
      <c r="N724" s="14"/>
    </row>
    <row r="725" ht="14.25" customHeight="1">
      <c r="B725" s="13"/>
      <c r="C725" s="13"/>
      <c r="D725" s="13"/>
      <c r="N725" s="14"/>
    </row>
    <row r="726" ht="14.25" customHeight="1">
      <c r="B726" s="13"/>
      <c r="C726" s="13"/>
      <c r="D726" s="13"/>
      <c r="N726" s="14"/>
    </row>
    <row r="727" ht="14.25" customHeight="1">
      <c r="B727" s="13"/>
      <c r="C727" s="13"/>
      <c r="D727" s="13"/>
      <c r="N727" s="14"/>
    </row>
    <row r="728" ht="14.25" customHeight="1">
      <c r="B728" s="13"/>
      <c r="C728" s="13"/>
      <c r="D728" s="13"/>
      <c r="N728" s="14"/>
    </row>
    <row r="729" ht="14.25" customHeight="1">
      <c r="B729" s="13"/>
      <c r="C729" s="13"/>
      <c r="D729" s="13"/>
      <c r="N729" s="14"/>
    </row>
    <row r="730" ht="14.25" customHeight="1">
      <c r="B730" s="13"/>
      <c r="C730" s="13"/>
      <c r="D730" s="13"/>
      <c r="N730" s="14"/>
    </row>
    <row r="731" ht="14.25" customHeight="1">
      <c r="B731" s="13"/>
      <c r="C731" s="13"/>
      <c r="D731" s="13"/>
      <c r="N731" s="14"/>
    </row>
    <row r="732" ht="14.25" customHeight="1">
      <c r="B732" s="13"/>
      <c r="C732" s="13"/>
      <c r="D732" s="13"/>
      <c r="N732" s="14"/>
    </row>
    <row r="733" ht="14.25" customHeight="1">
      <c r="B733" s="13"/>
      <c r="C733" s="13"/>
      <c r="D733" s="13"/>
      <c r="N733" s="14"/>
    </row>
    <row r="734" ht="14.25" customHeight="1">
      <c r="B734" s="13"/>
      <c r="C734" s="13"/>
      <c r="D734" s="13"/>
      <c r="N734" s="14"/>
    </row>
    <row r="735" ht="14.25" customHeight="1">
      <c r="B735" s="13"/>
      <c r="C735" s="13"/>
      <c r="D735" s="13"/>
      <c r="N735" s="14"/>
    </row>
    <row r="736" ht="14.25" customHeight="1">
      <c r="B736" s="13"/>
      <c r="C736" s="13"/>
      <c r="D736" s="13"/>
      <c r="N736" s="14"/>
    </row>
    <row r="737" ht="14.25" customHeight="1">
      <c r="B737" s="13"/>
      <c r="C737" s="13"/>
      <c r="D737" s="13"/>
      <c r="N737" s="14"/>
    </row>
    <row r="738" ht="14.25" customHeight="1">
      <c r="B738" s="13"/>
      <c r="C738" s="13"/>
      <c r="D738" s="13"/>
      <c r="N738" s="14"/>
    </row>
    <row r="739" ht="14.25" customHeight="1">
      <c r="B739" s="13"/>
      <c r="C739" s="13"/>
      <c r="D739" s="13"/>
      <c r="N739" s="14"/>
    </row>
    <row r="740" ht="14.25" customHeight="1">
      <c r="B740" s="13"/>
      <c r="C740" s="13"/>
      <c r="D740" s="13"/>
      <c r="N740" s="14"/>
    </row>
    <row r="741" ht="14.25" customHeight="1">
      <c r="B741" s="13"/>
      <c r="C741" s="13"/>
      <c r="D741" s="13"/>
      <c r="N741" s="14"/>
    </row>
    <row r="742" ht="14.25" customHeight="1">
      <c r="B742" s="13"/>
      <c r="C742" s="13"/>
      <c r="D742" s="13"/>
      <c r="N742" s="14"/>
    </row>
    <row r="743" ht="14.25" customHeight="1">
      <c r="B743" s="13"/>
      <c r="C743" s="13"/>
      <c r="D743" s="13"/>
      <c r="N743" s="14"/>
    </row>
    <row r="744" ht="14.25" customHeight="1">
      <c r="B744" s="13"/>
      <c r="C744" s="13"/>
      <c r="D744" s="13"/>
      <c r="N744" s="14"/>
    </row>
    <row r="745" ht="14.25" customHeight="1">
      <c r="B745" s="13"/>
      <c r="C745" s="13"/>
      <c r="D745" s="13"/>
      <c r="N745" s="14"/>
    </row>
    <row r="746" ht="14.25" customHeight="1">
      <c r="B746" s="13"/>
      <c r="C746" s="13"/>
      <c r="D746" s="13"/>
      <c r="N746" s="14"/>
    </row>
    <row r="747" ht="14.25" customHeight="1">
      <c r="B747" s="13"/>
      <c r="C747" s="13"/>
      <c r="D747" s="13"/>
      <c r="N747" s="14"/>
    </row>
    <row r="748" ht="14.25" customHeight="1">
      <c r="B748" s="13"/>
      <c r="C748" s="13"/>
      <c r="D748" s="13"/>
      <c r="N748" s="14"/>
    </row>
    <row r="749" ht="14.25" customHeight="1">
      <c r="B749" s="13"/>
      <c r="C749" s="13"/>
      <c r="D749" s="13"/>
      <c r="N749" s="14"/>
    </row>
    <row r="750" ht="14.25" customHeight="1">
      <c r="B750" s="13"/>
      <c r="C750" s="13"/>
      <c r="D750" s="13"/>
      <c r="N750" s="14"/>
    </row>
    <row r="751" ht="14.25" customHeight="1">
      <c r="B751" s="13"/>
      <c r="C751" s="13"/>
      <c r="D751" s="13"/>
      <c r="N751" s="14"/>
    </row>
    <row r="752" ht="14.25" customHeight="1">
      <c r="B752" s="13"/>
      <c r="C752" s="13"/>
      <c r="D752" s="13"/>
      <c r="N752" s="14"/>
    </row>
    <row r="753" ht="14.25" customHeight="1">
      <c r="B753" s="13"/>
      <c r="C753" s="13"/>
      <c r="D753" s="13"/>
      <c r="N753" s="14"/>
    </row>
    <row r="754" ht="14.25" customHeight="1">
      <c r="B754" s="13"/>
      <c r="C754" s="13"/>
      <c r="D754" s="13"/>
      <c r="N754" s="14"/>
    </row>
    <row r="755" ht="14.25" customHeight="1">
      <c r="B755" s="13"/>
      <c r="C755" s="13"/>
      <c r="D755" s="13"/>
      <c r="N755" s="14"/>
    </row>
    <row r="756" ht="14.25" customHeight="1">
      <c r="B756" s="13"/>
      <c r="C756" s="13"/>
      <c r="D756" s="13"/>
      <c r="N756" s="14"/>
    </row>
    <row r="757" ht="14.25" customHeight="1">
      <c r="B757" s="13"/>
      <c r="C757" s="13"/>
      <c r="D757" s="13"/>
      <c r="N757" s="14"/>
    </row>
    <row r="758" ht="14.25" customHeight="1">
      <c r="B758" s="13"/>
      <c r="C758" s="13"/>
      <c r="D758" s="13"/>
      <c r="N758" s="14"/>
    </row>
    <row r="759" ht="14.25" customHeight="1">
      <c r="B759" s="13"/>
      <c r="C759" s="13"/>
      <c r="D759" s="13"/>
      <c r="N759" s="14"/>
    </row>
    <row r="760" ht="14.25" customHeight="1">
      <c r="B760" s="13"/>
      <c r="C760" s="13"/>
      <c r="D760" s="13"/>
      <c r="N760" s="14"/>
    </row>
    <row r="761" ht="14.25" customHeight="1">
      <c r="B761" s="13"/>
      <c r="C761" s="13"/>
      <c r="D761" s="13"/>
      <c r="N761" s="14"/>
    </row>
    <row r="762" ht="14.25" customHeight="1">
      <c r="B762" s="13"/>
      <c r="C762" s="13"/>
      <c r="D762" s="13"/>
      <c r="N762" s="14"/>
    </row>
    <row r="763" ht="14.25" customHeight="1">
      <c r="B763" s="13"/>
      <c r="C763" s="13"/>
      <c r="D763" s="13"/>
      <c r="N763" s="14"/>
    </row>
    <row r="764" ht="14.25" customHeight="1">
      <c r="B764" s="13"/>
      <c r="C764" s="13"/>
      <c r="D764" s="13"/>
      <c r="N764" s="14"/>
    </row>
    <row r="765" ht="14.25" customHeight="1">
      <c r="B765" s="13"/>
      <c r="C765" s="13"/>
      <c r="D765" s="13"/>
      <c r="N765" s="14"/>
    </row>
    <row r="766" ht="14.25" customHeight="1">
      <c r="B766" s="13"/>
      <c r="C766" s="13"/>
      <c r="D766" s="13"/>
      <c r="N766" s="14"/>
    </row>
    <row r="767" ht="14.25" customHeight="1">
      <c r="B767" s="13"/>
      <c r="C767" s="13"/>
      <c r="D767" s="13"/>
      <c r="N767" s="14"/>
    </row>
    <row r="768" ht="14.25" customHeight="1">
      <c r="B768" s="13"/>
      <c r="C768" s="13"/>
      <c r="D768" s="13"/>
      <c r="N768" s="14"/>
    </row>
    <row r="769" ht="14.25" customHeight="1">
      <c r="B769" s="13"/>
      <c r="C769" s="13"/>
      <c r="D769" s="13"/>
      <c r="N769" s="14"/>
    </row>
    <row r="770" ht="14.25" customHeight="1">
      <c r="B770" s="13"/>
      <c r="C770" s="13"/>
      <c r="D770" s="13"/>
      <c r="N770" s="14"/>
    </row>
    <row r="771" ht="14.25" customHeight="1">
      <c r="B771" s="13"/>
      <c r="C771" s="13"/>
      <c r="D771" s="13"/>
      <c r="N771" s="14"/>
    </row>
    <row r="772" ht="14.25" customHeight="1">
      <c r="B772" s="13"/>
      <c r="C772" s="13"/>
      <c r="D772" s="13"/>
      <c r="N772" s="14"/>
    </row>
    <row r="773" ht="14.25" customHeight="1">
      <c r="B773" s="13"/>
      <c r="C773" s="13"/>
      <c r="D773" s="13"/>
      <c r="N773" s="14"/>
    </row>
    <row r="774" ht="14.25" customHeight="1">
      <c r="B774" s="13"/>
      <c r="C774" s="13"/>
      <c r="D774" s="13"/>
      <c r="N774" s="14"/>
    </row>
    <row r="775" ht="14.25" customHeight="1">
      <c r="B775" s="13"/>
      <c r="C775" s="13"/>
      <c r="D775" s="13"/>
      <c r="N775" s="14"/>
    </row>
    <row r="776" ht="14.25" customHeight="1">
      <c r="B776" s="13"/>
      <c r="C776" s="13"/>
      <c r="D776" s="13"/>
      <c r="N776" s="14"/>
    </row>
    <row r="777" ht="14.25" customHeight="1">
      <c r="B777" s="13"/>
      <c r="C777" s="13"/>
      <c r="D777" s="13"/>
      <c r="N777" s="14"/>
    </row>
    <row r="778" ht="14.25" customHeight="1">
      <c r="B778" s="13"/>
      <c r="C778" s="13"/>
      <c r="D778" s="13"/>
      <c r="N778" s="14"/>
    </row>
    <row r="779" ht="14.25" customHeight="1">
      <c r="B779" s="13"/>
      <c r="C779" s="13"/>
      <c r="D779" s="13"/>
      <c r="N779" s="14"/>
    </row>
    <row r="780" ht="14.25" customHeight="1">
      <c r="B780" s="13"/>
      <c r="C780" s="13"/>
      <c r="D780" s="13"/>
      <c r="N780" s="14"/>
    </row>
    <row r="781" ht="14.25" customHeight="1">
      <c r="B781" s="13"/>
      <c r="C781" s="13"/>
      <c r="D781" s="13"/>
      <c r="N781" s="14"/>
    </row>
    <row r="782" ht="14.25" customHeight="1">
      <c r="B782" s="13"/>
      <c r="C782" s="13"/>
      <c r="D782" s="13"/>
      <c r="N782" s="14"/>
    </row>
    <row r="783" ht="14.25" customHeight="1">
      <c r="B783" s="13"/>
      <c r="C783" s="13"/>
      <c r="D783" s="13"/>
      <c r="N783" s="14"/>
    </row>
    <row r="784" ht="14.25" customHeight="1">
      <c r="B784" s="13"/>
      <c r="C784" s="13"/>
      <c r="D784" s="13"/>
      <c r="N784" s="14"/>
    </row>
    <row r="785" ht="14.25" customHeight="1">
      <c r="B785" s="13"/>
      <c r="C785" s="13"/>
      <c r="D785" s="13"/>
      <c r="N785" s="14"/>
    </row>
    <row r="786" ht="14.25" customHeight="1">
      <c r="B786" s="13"/>
      <c r="C786" s="13"/>
      <c r="D786" s="13"/>
      <c r="N786" s="14"/>
    </row>
    <row r="787" ht="14.25" customHeight="1">
      <c r="B787" s="13"/>
      <c r="C787" s="13"/>
      <c r="D787" s="13"/>
      <c r="N787" s="14"/>
    </row>
    <row r="788" ht="14.25" customHeight="1">
      <c r="B788" s="13"/>
      <c r="C788" s="13"/>
      <c r="D788" s="13"/>
      <c r="N788" s="14"/>
    </row>
    <row r="789" ht="14.25" customHeight="1">
      <c r="B789" s="13"/>
      <c r="C789" s="13"/>
      <c r="D789" s="13"/>
      <c r="N789" s="14"/>
    </row>
    <row r="790" ht="14.25" customHeight="1">
      <c r="B790" s="13"/>
      <c r="C790" s="13"/>
      <c r="D790" s="13"/>
      <c r="N790" s="14"/>
    </row>
    <row r="791" ht="14.25" customHeight="1">
      <c r="B791" s="13"/>
      <c r="C791" s="13"/>
      <c r="D791" s="13"/>
      <c r="N791" s="14"/>
    </row>
    <row r="792" ht="14.25" customHeight="1">
      <c r="B792" s="13"/>
      <c r="C792" s="13"/>
      <c r="D792" s="13"/>
      <c r="N792" s="14"/>
    </row>
    <row r="793" ht="14.25" customHeight="1">
      <c r="B793" s="13"/>
      <c r="C793" s="13"/>
      <c r="D793" s="13"/>
      <c r="N793" s="14"/>
    </row>
    <row r="794" ht="14.25" customHeight="1">
      <c r="B794" s="13"/>
      <c r="C794" s="13"/>
      <c r="D794" s="13"/>
      <c r="N794" s="14"/>
    </row>
    <row r="795" ht="14.25" customHeight="1">
      <c r="B795" s="13"/>
      <c r="C795" s="13"/>
      <c r="D795" s="13"/>
      <c r="N795" s="14"/>
    </row>
    <row r="796" ht="14.25" customHeight="1">
      <c r="B796" s="13"/>
      <c r="C796" s="13"/>
      <c r="D796" s="13"/>
      <c r="N796" s="14"/>
    </row>
    <row r="797" ht="14.25" customHeight="1">
      <c r="B797" s="13"/>
      <c r="C797" s="13"/>
      <c r="D797" s="13"/>
      <c r="N797" s="14"/>
    </row>
    <row r="798" ht="14.25" customHeight="1">
      <c r="B798" s="13"/>
      <c r="C798" s="13"/>
      <c r="D798" s="13"/>
      <c r="N798" s="14"/>
    </row>
    <row r="799" ht="14.25" customHeight="1">
      <c r="B799" s="13"/>
      <c r="C799" s="13"/>
      <c r="D799" s="13"/>
      <c r="N799" s="14"/>
    </row>
    <row r="800" ht="14.25" customHeight="1">
      <c r="B800" s="13"/>
      <c r="C800" s="13"/>
      <c r="D800" s="13"/>
      <c r="N800" s="14"/>
    </row>
    <row r="801" ht="14.25" customHeight="1">
      <c r="B801" s="13"/>
      <c r="C801" s="13"/>
      <c r="D801" s="13"/>
      <c r="N801" s="14"/>
    </row>
    <row r="802" ht="14.25" customHeight="1">
      <c r="B802" s="13"/>
      <c r="C802" s="13"/>
      <c r="D802" s="13"/>
      <c r="N802" s="14"/>
    </row>
    <row r="803" ht="14.25" customHeight="1">
      <c r="B803" s="13"/>
      <c r="C803" s="13"/>
      <c r="D803" s="13"/>
      <c r="N803" s="14"/>
    </row>
    <row r="804" ht="14.25" customHeight="1">
      <c r="B804" s="13"/>
      <c r="C804" s="13"/>
      <c r="D804" s="13"/>
      <c r="N804" s="14"/>
    </row>
    <row r="805" ht="14.25" customHeight="1">
      <c r="B805" s="13"/>
      <c r="C805" s="13"/>
      <c r="D805" s="13"/>
      <c r="N805" s="14"/>
    </row>
    <row r="806" ht="14.25" customHeight="1">
      <c r="B806" s="13"/>
      <c r="C806" s="13"/>
      <c r="D806" s="13"/>
      <c r="N806" s="14"/>
    </row>
    <row r="807" ht="14.25" customHeight="1">
      <c r="B807" s="13"/>
      <c r="C807" s="13"/>
      <c r="D807" s="13"/>
      <c r="N807" s="14"/>
    </row>
    <row r="808" ht="14.25" customHeight="1">
      <c r="B808" s="13"/>
      <c r="C808" s="13"/>
      <c r="D808" s="13"/>
      <c r="N808" s="14"/>
    </row>
    <row r="809" ht="14.25" customHeight="1">
      <c r="B809" s="13"/>
      <c r="C809" s="13"/>
      <c r="D809" s="13"/>
      <c r="N809" s="14"/>
    </row>
    <row r="810" ht="14.25" customHeight="1">
      <c r="B810" s="13"/>
      <c r="C810" s="13"/>
      <c r="D810" s="13"/>
      <c r="N810" s="14"/>
    </row>
    <row r="811" ht="14.25" customHeight="1">
      <c r="B811" s="13"/>
      <c r="C811" s="13"/>
      <c r="D811" s="13"/>
      <c r="N811" s="14"/>
    </row>
    <row r="812" ht="14.25" customHeight="1">
      <c r="B812" s="13"/>
      <c r="C812" s="13"/>
      <c r="D812" s="13"/>
      <c r="N812" s="14"/>
    </row>
    <row r="813" ht="14.25" customHeight="1">
      <c r="B813" s="13"/>
      <c r="C813" s="13"/>
      <c r="D813" s="13"/>
      <c r="N813" s="14"/>
    </row>
    <row r="814" ht="14.25" customHeight="1">
      <c r="B814" s="13"/>
      <c r="C814" s="13"/>
      <c r="D814" s="13"/>
      <c r="N814" s="14"/>
    </row>
    <row r="815" ht="14.25" customHeight="1">
      <c r="B815" s="13"/>
      <c r="C815" s="13"/>
      <c r="D815" s="13"/>
      <c r="N815" s="14"/>
    </row>
    <row r="816" ht="14.25" customHeight="1">
      <c r="B816" s="13"/>
      <c r="C816" s="13"/>
      <c r="D816" s="13"/>
      <c r="N816" s="14"/>
    </row>
    <row r="817" ht="14.25" customHeight="1">
      <c r="B817" s="13"/>
      <c r="C817" s="13"/>
      <c r="D817" s="13"/>
      <c r="N817" s="14"/>
    </row>
    <row r="818" ht="14.25" customHeight="1">
      <c r="B818" s="13"/>
      <c r="C818" s="13"/>
      <c r="D818" s="13"/>
      <c r="N818" s="14"/>
    </row>
    <row r="819" ht="14.25" customHeight="1">
      <c r="B819" s="13"/>
      <c r="C819" s="13"/>
      <c r="D819" s="13"/>
      <c r="N819" s="14"/>
    </row>
    <row r="820" ht="14.25" customHeight="1">
      <c r="B820" s="13"/>
      <c r="C820" s="13"/>
      <c r="D820" s="13"/>
      <c r="N820" s="14"/>
    </row>
    <row r="821" ht="14.25" customHeight="1">
      <c r="B821" s="13"/>
      <c r="C821" s="13"/>
      <c r="D821" s="13"/>
      <c r="N821" s="14"/>
    </row>
    <row r="822" ht="14.25" customHeight="1">
      <c r="B822" s="13"/>
      <c r="C822" s="13"/>
      <c r="D822" s="13"/>
      <c r="N822" s="14"/>
    </row>
    <row r="823" ht="14.25" customHeight="1">
      <c r="B823" s="13"/>
      <c r="C823" s="13"/>
      <c r="D823" s="13"/>
      <c r="N823" s="14"/>
    </row>
    <row r="824" ht="14.25" customHeight="1">
      <c r="B824" s="13"/>
      <c r="C824" s="13"/>
      <c r="D824" s="13"/>
      <c r="N824" s="14"/>
    </row>
    <row r="825" ht="14.25" customHeight="1">
      <c r="B825" s="13"/>
      <c r="C825" s="13"/>
      <c r="D825" s="13"/>
      <c r="N825" s="14"/>
    </row>
    <row r="826" ht="14.25" customHeight="1">
      <c r="B826" s="13"/>
      <c r="C826" s="13"/>
      <c r="D826" s="13"/>
      <c r="N826" s="14"/>
    </row>
    <row r="827" ht="14.25" customHeight="1">
      <c r="B827" s="13"/>
      <c r="C827" s="13"/>
      <c r="D827" s="13"/>
      <c r="N827" s="14"/>
    </row>
    <row r="828" ht="14.25" customHeight="1">
      <c r="B828" s="13"/>
      <c r="C828" s="13"/>
      <c r="D828" s="13"/>
      <c r="N828" s="14"/>
    </row>
    <row r="829" ht="14.25" customHeight="1">
      <c r="B829" s="13"/>
      <c r="C829" s="13"/>
      <c r="D829" s="13"/>
      <c r="N829" s="14"/>
    </row>
    <row r="830" ht="14.25" customHeight="1">
      <c r="B830" s="13"/>
      <c r="C830" s="13"/>
      <c r="D830" s="13"/>
      <c r="N830" s="14"/>
    </row>
    <row r="831" ht="14.25" customHeight="1">
      <c r="B831" s="13"/>
      <c r="C831" s="13"/>
      <c r="D831" s="13"/>
      <c r="N831" s="14"/>
    </row>
    <row r="832" ht="14.25" customHeight="1">
      <c r="B832" s="13"/>
      <c r="C832" s="13"/>
      <c r="D832" s="13"/>
      <c r="N832" s="14"/>
    </row>
    <row r="833" ht="14.25" customHeight="1">
      <c r="B833" s="13"/>
      <c r="C833" s="13"/>
      <c r="D833" s="13"/>
      <c r="N833" s="14"/>
    </row>
    <row r="834" ht="14.25" customHeight="1">
      <c r="B834" s="13"/>
      <c r="C834" s="13"/>
      <c r="D834" s="13"/>
      <c r="N834" s="14"/>
    </row>
    <row r="835" ht="14.25" customHeight="1">
      <c r="B835" s="13"/>
      <c r="C835" s="13"/>
      <c r="D835" s="13"/>
      <c r="N835" s="14"/>
    </row>
    <row r="836" ht="14.25" customHeight="1">
      <c r="B836" s="13"/>
      <c r="C836" s="13"/>
      <c r="D836" s="13"/>
      <c r="N836" s="14"/>
    </row>
    <row r="837" ht="14.25" customHeight="1">
      <c r="B837" s="13"/>
      <c r="C837" s="13"/>
      <c r="D837" s="13"/>
      <c r="N837" s="14"/>
    </row>
    <row r="838" ht="14.25" customHeight="1">
      <c r="B838" s="13"/>
      <c r="C838" s="13"/>
      <c r="D838" s="13"/>
      <c r="N838" s="14"/>
    </row>
    <row r="839" ht="14.25" customHeight="1">
      <c r="B839" s="13"/>
      <c r="C839" s="13"/>
      <c r="D839" s="13"/>
      <c r="N839" s="14"/>
    </row>
    <row r="840" ht="14.25" customHeight="1">
      <c r="B840" s="13"/>
      <c r="C840" s="13"/>
      <c r="D840" s="13"/>
      <c r="N840" s="14"/>
    </row>
    <row r="841" ht="14.25" customHeight="1">
      <c r="B841" s="13"/>
      <c r="C841" s="13"/>
      <c r="D841" s="13"/>
      <c r="N841" s="14"/>
    </row>
    <row r="842" ht="14.25" customHeight="1">
      <c r="B842" s="13"/>
      <c r="C842" s="13"/>
      <c r="D842" s="13"/>
      <c r="N842" s="14"/>
    </row>
    <row r="843" ht="14.25" customHeight="1">
      <c r="B843" s="13"/>
      <c r="C843" s="13"/>
      <c r="D843" s="13"/>
      <c r="N843" s="14"/>
    </row>
    <row r="844" ht="14.25" customHeight="1">
      <c r="B844" s="13"/>
      <c r="C844" s="13"/>
      <c r="D844" s="13"/>
      <c r="N844" s="14"/>
    </row>
    <row r="845" ht="14.25" customHeight="1">
      <c r="B845" s="13"/>
      <c r="C845" s="13"/>
      <c r="D845" s="13"/>
      <c r="N845" s="14"/>
    </row>
    <row r="846" ht="14.25" customHeight="1">
      <c r="B846" s="13"/>
      <c r="C846" s="13"/>
      <c r="D846" s="13"/>
      <c r="N846" s="14"/>
    </row>
    <row r="847" ht="14.25" customHeight="1">
      <c r="B847" s="13"/>
      <c r="C847" s="13"/>
      <c r="D847" s="13"/>
      <c r="N847" s="14"/>
    </row>
    <row r="848" ht="14.25" customHeight="1">
      <c r="B848" s="13"/>
      <c r="C848" s="13"/>
      <c r="D848" s="13"/>
      <c r="N848" s="14"/>
    </row>
    <row r="849" ht="14.25" customHeight="1">
      <c r="B849" s="13"/>
      <c r="C849" s="13"/>
      <c r="D849" s="13"/>
      <c r="N849" s="14"/>
    </row>
    <row r="850" ht="14.25" customHeight="1">
      <c r="B850" s="13"/>
      <c r="C850" s="13"/>
      <c r="D850" s="13"/>
      <c r="N850" s="14"/>
    </row>
    <row r="851" ht="14.25" customHeight="1">
      <c r="B851" s="13"/>
      <c r="C851" s="13"/>
      <c r="D851" s="13"/>
      <c r="N851" s="14"/>
    </row>
    <row r="852" ht="14.25" customHeight="1">
      <c r="B852" s="13"/>
      <c r="C852" s="13"/>
      <c r="D852" s="13"/>
      <c r="N852" s="14"/>
    </row>
    <row r="853" ht="14.25" customHeight="1">
      <c r="B853" s="13"/>
      <c r="C853" s="13"/>
      <c r="D853" s="13"/>
      <c r="N853" s="14"/>
    </row>
    <row r="854" ht="14.25" customHeight="1">
      <c r="B854" s="13"/>
      <c r="C854" s="13"/>
      <c r="D854" s="13"/>
      <c r="N854" s="14"/>
    </row>
    <row r="855" ht="14.25" customHeight="1">
      <c r="B855" s="13"/>
      <c r="C855" s="13"/>
      <c r="D855" s="13"/>
      <c r="N855" s="14"/>
    </row>
    <row r="856" ht="14.25" customHeight="1">
      <c r="B856" s="13"/>
      <c r="C856" s="13"/>
      <c r="D856" s="13"/>
      <c r="N856" s="14"/>
    </row>
    <row r="857" ht="14.25" customHeight="1">
      <c r="B857" s="13"/>
      <c r="C857" s="13"/>
      <c r="D857" s="13"/>
      <c r="N857" s="14"/>
    </row>
    <row r="858" ht="14.25" customHeight="1">
      <c r="B858" s="13"/>
      <c r="C858" s="13"/>
      <c r="D858" s="13"/>
      <c r="N858" s="14"/>
    </row>
    <row r="859" ht="14.25" customHeight="1">
      <c r="B859" s="13"/>
      <c r="C859" s="13"/>
      <c r="D859" s="13"/>
      <c r="N859" s="14"/>
    </row>
    <row r="860" ht="14.25" customHeight="1">
      <c r="B860" s="13"/>
      <c r="C860" s="13"/>
      <c r="D860" s="13"/>
      <c r="N860" s="14"/>
    </row>
    <row r="861" ht="14.25" customHeight="1">
      <c r="B861" s="13"/>
      <c r="C861" s="13"/>
      <c r="D861" s="13"/>
      <c r="N861" s="14"/>
    </row>
    <row r="862" ht="14.25" customHeight="1">
      <c r="B862" s="13"/>
      <c r="C862" s="13"/>
      <c r="D862" s="13"/>
      <c r="N862" s="14"/>
    </row>
    <row r="863" ht="14.25" customHeight="1">
      <c r="B863" s="13"/>
      <c r="C863" s="13"/>
      <c r="D863" s="13"/>
      <c r="N863" s="14"/>
    </row>
    <row r="864" ht="14.25" customHeight="1">
      <c r="B864" s="13"/>
      <c r="C864" s="13"/>
      <c r="D864" s="13"/>
      <c r="N864" s="14"/>
    </row>
    <row r="865" ht="14.25" customHeight="1">
      <c r="B865" s="13"/>
      <c r="C865" s="13"/>
      <c r="D865" s="13"/>
      <c r="N865" s="14"/>
    </row>
    <row r="866" ht="14.25" customHeight="1">
      <c r="B866" s="13"/>
      <c r="C866" s="13"/>
      <c r="D866" s="13"/>
      <c r="N866" s="14"/>
    </row>
    <row r="867" ht="14.25" customHeight="1">
      <c r="B867" s="13"/>
      <c r="C867" s="13"/>
      <c r="D867" s="13"/>
      <c r="N867" s="14"/>
    </row>
    <row r="868" ht="14.25" customHeight="1">
      <c r="B868" s="13"/>
      <c r="C868" s="13"/>
      <c r="D868" s="13"/>
      <c r="N868" s="14"/>
    </row>
    <row r="869" ht="14.25" customHeight="1">
      <c r="B869" s="13"/>
      <c r="C869" s="13"/>
      <c r="D869" s="13"/>
      <c r="N869" s="14"/>
    </row>
    <row r="870" ht="14.25" customHeight="1">
      <c r="B870" s="13"/>
      <c r="C870" s="13"/>
      <c r="D870" s="13"/>
      <c r="N870" s="14"/>
    </row>
    <row r="871" ht="14.25" customHeight="1">
      <c r="B871" s="13"/>
      <c r="C871" s="13"/>
      <c r="D871" s="13"/>
      <c r="N871" s="14"/>
    </row>
    <row r="872" ht="14.25" customHeight="1">
      <c r="B872" s="13"/>
      <c r="C872" s="13"/>
      <c r="D872" s="13"/>
      <c r="N872" s="14"/>
    </row>
    <row r="873" ht="14.25" customHeight="1">
      <c r="B873" s="13"/>
      <c r="C873" s="13"/>
      <c r="D873" s="13"/>
      <c r="N873" s="14"/>
    </row>
    <row r="874" ht="14.25" customHeight="1">
      <c r="B874" s="13"/>
      <c r="C874" s="13"/>
      <c r="D874" s="13"/>
      <c r="N874" s="14"/>
    </row>
    <row r="875" ht="14.25" customHeight="1">
      <c r="B875" s="13"/>
      <c r="C875" s="13"/>
      <c r="D875" s="13"/>
      <c r="N875" s="14"/>
    </row>
    <row r="876" ht="14.25" customHeight="1">
      <c r="B876" s="13"/>
      <c r="C876" s="13"/>
      <c r="D876" s="13"/>
      <c r="N876" s="14"/>
    </row>
    <row r="877" ht="14.25" customHeight="1">
      <c r="B877" s="13"/>
      <c r="C877" s="13"/>
      <c r="D877" s="13"/>
      <c r="N877" s="14"/>
    </row>
    <row r="878" ht="14.25" customHeight="1">
      <c r="B878" s="13"/>
      <c r="C878" s="13"/>
      <c r="D878" s="13"/>
      <c r="N878" s="14"/>
    </row>
    <row r="879" ht="14.25" customHeight="1">
      <c r="B879" s="13"/>
      <c r="C879" s="13"/>
      <c r="D879" s="13"/>
      <c r="N879" s="14"/>
    </row>
    <row r="880" ht="14.25" customHeight="1">
      <c r="B880" s="13"/>
      <c r="C880" s="13"/>
      <c r="D880" s="13"/>
      <c r="N880" s="14"/>
    </row>
    <row r="881" ht="14.25" customHeight="1">
      <c r="B881" s="13"/>
      <c r="C881" s="13"/>
      <c r="D881" s="13"/>
      <c r="N881" s="14"/>
    </row>
    <row r="882" ht="14.25" customHeight="1">
      <c r="B882" s="13"/>
      <c r="C882" s="13"/>
      <c r="D882" s="13"/>
      <c r="N882" s="14"/>
    </row>
    <row r="883" ht="14.25" customHeight="1">
      <c r="B883" s="13"/>
      <c r="C883" s="13"/>
      <c r="D883" s="13"/>
      <c r="N883" s="14"/>
    </row>
    <row r="884" ht="14.25" customHeight="1">
      <c r="B884" s="13"/>
      <c r="C884" s="13"/>
      <c r="D884" s="13"/>
      <c r="N884" s="14"/>
    </row>
    <row r="885" ht="14.25" customHeight="1">
      <c r="B885" s="13"/>
      <c r="C885" s="13"/>
      <c r="D885" s="13"/>
      <c r="N885" s="14"/>
    </row>
    <row r="886" ht="14.25" customHeight="1">
      <c r="B886" s="13"/>
      <c r="C886" s="13"/>
      <c r="D886" s="13"/>
      <c r="N886" s="14"/>
    </row>
    <row r="887" ht="14.25" customHeight="1">
      <c r="B887" s="13"/>
      <c r="C887" s="13"/>
      <c r="D887" s="13"/>
      <c r="N887" s="14"/>
    </row>
    <row r="888" ht="14.25" customHeight="1">
      <c r="B888" s="13"/>
      <c r="C888" s="13"/>
      <c r="D888" s="13"/>
      <c r="N888" s="14"/>
    </row>
    <row r="889" ht="14.25" customHeight="1">
      <c r="B889" s="13"/>
      <c r="C889" s="13"/>
      <c r="D889" s="13"/>
      <c r="N889" s="14"/>
    </row>
    <row r="890" ht="14.25" customHeight="1">
      <c r="B890" s="13"/>
      <c r="C890" s="13"/>
      <c r="D890" s="13"/>
      <c r="N890" s="14"/>
    </row>
    <row r="891" ht="14.25" customHeight="1">
      <c r="B891" s="13"/>
      <c r="C891" s="13"/>
      <c r="D891" s="13"/>
      <c r="N891" s="14"/>
    </row>
    <row r="892" ht="14.25" customHeight="1">
      <c r="B892" s="13"/>
      <c r="C892" s="13"/>
      <c r="D892" s="13"/>
      <c r="N892" s="14"/>
    </row>
    <row r="893" ht="14.25" customHeight="1">
      <c r="B893" s="13"/>
      <c r="C893" s="13"/>
      <c r="D893" s="13"/>
      <c r="N893" s="14"/>
    </row>
    <row r="894" ht="14.25" customHeight="1">
      <c r="B894" s="13"/>
      <c r="C894" s="13"/>
      <c r="D894" s="13"/>
      <c r="N894" s="14"/>
    </row>
    <row r="895" ht="14.25" customHeight="1">
      <c r="B895" s="13"/>
      <c r="C895" s="13"/>
      <c r="D895" s="13"/>
      <c r="N895" s="14"/>
    </row>
    <row r="896" ht="14.25" customHeight="1">
      <c r="B896" s="13"/>
      <c r="C896" s="13"/>
      <c r="D896" s="13"/>
      <c r="N896" s="14"/>
    </row>
    <row r="897" ht="14.25" customHeight="1">
      <c r="B897" s="13"/>
      <c r="C897" s="13"/>
      <c r="D897" s="13"/>
      <c r="N897" s="14"/>
    </row>
    <row r="898" ht="14.25" customHeight="1">
      <c r="B898" s="13"/>
      <c r="C898" s="13"/>
      <c r="D898" s="13"/>
      <c r="N898" s="14"/>
    </row>
    <row r="899" ht="14.25" customHeight="1">
      <c r="B899" s="13"/>
      <c r="C899" s="13"/>
      <c r="D899" s="13"/>
      <c r="N899" s="14"/>
    </row>
    <row r="900" ht="14.25" customHeight="1">
      <c r="B900" s="13"/>
      <c r="C900" s="13"/>
      <c r="D900" s="13"/>
      <c r="N900" s="14"/>
    </row>
    <row r="901" ht="14.25" customHeight="1">
      <c r="B901" s="13"/>
      <c r="C901" s="13"/>
      <c r="D901" s="13"/>
      <c r="N901" s="14"/>
    </row>
    <row r="902" ht="14.25" customHeight="1">
      <c r="B902" s="13"/>
      <c r="C902" s="13"/>
      <c r="D902" s="13"/>
      <c r="N902" s="14"/>
    </row>
    <row r="903" ht="14.25" customHeight="1">
      <c r="B903" s="13"/>
      <c r="C903" s="13"/>
      <c r="D903" s="13"/>
      <c r="N903" s="14"/>
    </row>
    <row r="904" ht="14.25" customHeight="1">
      <c r="B904" s="13"/>
      <c r="C904" s="13"/>
      <c r="D904" s="13"/>
      <c r="N904" s="14"/>
    </row>
    <row r="905" ht="14.25" customHeight="1">
      <c r="B905" s="13"/>
      <c r="C905" s="13"/>
      <c r="D905" s="13"/>
      <c r="N905" s="14"/>
    </row>
    <row r="906" ht="14.25" customHeight="1">
      <c r="B906" s="13"/>
      <c r="C906" s="13"/>
      <c r="D906" s="13"/>
      <c r="N906" s="14"/>
    </row>
    <row r="907" ht="14.25" customHeight="1">
      <c r="B907" s="13"/>
      <c r="C907" s="13"/>
      <c r="D907" s="13"/>
      <c r="N907" s="14"/>
    </row>
    <row r="908" ht="14.25" customHeight="1">
      <c r="B908" s="13"/>
      <c r="C908" s="13"/>
      <c r="D908" s="13"/>
      <c r="N908" s="14"/>
    </row>
    <row r="909" ht="14.25" customHeight="1">
      <c r="B909" s="13"/>
      <c r="C909" s="13"/>
      <c r="D909" s="13"/>
      <c r="N909" s="14"/>
    </row>
    <row r="910" ht="14.25" customHeight="1">
      <c r="B910" s="13"/>
      <c r="C910" s="13"/>
      <c r="D910" s="13"/>
      <c r="N910" s="14"/>
    </row>
    <row r="911" ht="14.25" customHeight="1">
      <c r="B911" s="13"/>
      <c r="C911" s="13"/>
      <c r="D911" s="13"/>
      <c r="N911" s="14"/>
    </row>
    <row r="912" ht="14.25" customHeight="1">
      <c r="B912" s="13"/>
      <c r="C912" s="13"/>
      <c r="D912" s="13"/>
      <c r="N912" s="14"/>
    </row>
    <row r="913" ht="14.25" customHeight="1">
      <c r="B913" s="13"/>
      <c r="C913" s="13"/>
      <c r="D913" s="13"/>
      <c r="N913" s="14"/>
    </row>
    <row r="914" ht="14.25" customHeight="1">
      <c r="B914" s="13"/>
      <c r="C914" s="13"/>
      <c r="D914" s="13"/>
      <c r="N914" s="14"/>
    </row>
    <row r="915" ht="14.25" customHeight="1">
      <c r="B915" s="13"/>
      <c r="C915" s="13"/>
      <c r="D915" s="13"/>
      <c r="N915" s="14"/>
    </row>
    <row r="916" ht="14.25" customHeight="1">
      <c r="B916" s="13"/>
      <c r="C916" s="13"/>
      <c r="D916" s="13"/>
      <c r="N916" s="14"/>
    </row>
    <row r="917" ht="14.25" customHeight="1">
      <c r="B917" s="13"/>
      <c r="C917" s="13"/>
      <c r="D917" s="13"/>
      <c r="N917" s="14"/>
    </row>
    <row r="918" ht="14.25" customHeight="1">
      <c r="B918" s="13"/>
      <c r="C918" s="13"/>
      <c r="D918" s="13"/>
      <c r="N918" s="14"/>
    </row>
    <row r="919" ht="14.25" customHeight="1">
      <c r="B919" s="13"/>
      <c r="C919" s="13"/>
      <c r="D919" s="13"/>
      <c r="N919" s="14"/>
    </row>
    <row r="920" ht="14.25" customHeight="1">
      <c r="B920" s="13"/>
      <c r="C920" s="13"/>
      <c r="D920" s="13"/>
      <c r="N920" s="14"/>
    </row>
    <row r="921" ht="14.25" customHeight="1">
      <c r="B921" s="13"/>
      <c r="C921" s="13"/>
      <c r="D921" s="13"/>
      <c r="N921" s="14"/>
    </row>
    <row r="922" ht="14.25" customHeight="1">
      <c r="B922" s="13"/>
      <c r="C922" s="13"/>
      <c r="D922" s="13"/>
      <c r="N922" s="14"/>
    </row>
    <row r="923" ht="14.25" customHeight="1">
      <c r="B923" s="13"/>
      <c r="C923" s="13"/>
      <c r="D923" s="13"/>
      <c r="N923" s="14"/>
    </row>
    <row r="924" ht="14.25" customHeight="1">
      <c r="B924" s="13"/>
      <c r="C924" s="13"/>
      <c r="D924" s="13"/>
      <c r="N924" s="14"/>
    </row>
    <row r="925" ht="14.25" customHeight="1">
      <c r="B925" s="13"/>
      <c r="C925" s="13"/>
      <c r="D925" s="13"/>
      <c r="N925" s="14"/>
    </row>
    <row r="926" ht="14.25" customHeight="1">
      <c r="B926" s="13"/>
      <c r="C926" s="13"/>
      <c r="D926" s="13"/>
      <c r="N926" s="14"/>
    </row>
    <row r="927" ht="14.25" customHeight="1">
      <c r="B927" s="13"/>
      <c r="C927" s="13"/>
      <c r="D927" s="13"/>
      <c r="N927" s="14"/>
    </row>
    <row r="928" ht="14.25" customHeight="1">
      <c r="B928" s="13"/>
      <c r="C928" s="13"/>
      <c r="D928" s="13"/>
      <c r="N928" s="14"/>
    </row>
    <row r="929" ht="14.25" customHeight="1">
      <c r="B929" s="13"/>
      <c r="C929" s="13"/>
      <c r="D929" s="13"/>
      <c r="N929" s="14"/>
    </row>
    <row r="930" ht="14.25" customHeight="1">
      <c r="B930" s="13"/>
      <c r="C930" s="13"/>
      <c r="D930" s="13"/>
      <c r="N930" s="14"/>
    </row>
    <row r="931" ht="14.25" customHeight="1">
      <c r="B931" s="13"/>
      <c r="C931" s="13"/>
      <c r="D931" s="13"/>
      <c r="N931" s="14"/>
    </row>
    <row r="932" ht="14.25" customHeight="1">
      <c r="B932" s="13"/>
      <c r="C932" s="13"/>
      <c r="D932" s="13"/>
      <c r="N932" s="14"/>
    </row>
    <row r="933" ht="14.25" customHeight="1">
      <c r="B933" s="13"/>
      <c r="C933" s="13"/>
      <c r="D933" s="13"/>
      <c r="N933" s="14"/>
    </row>
    <row r="934" ht="14.25" customHeight="1">
      <c r="B934" s="13"/>
      <c r="C934" s="13"/>
      <c r="D934" s="13"/>
      <c r="N934" s="14"/>
    </row>
    <row r="935" ht="14.25" customHeight="1">
      <c r="B935" s="13"/>
      <c r="C935" s="13"/>
      <c r="D935" s="13"/>
      <c r="N935" s="14"/>
    </row>
    <row r="936" ht="14.25" customHeight="1">
      <c r="B936" s="13"/>
      <c r="C936" s="13"/>
      <c r="D936" s="13"/>
      <c r="N936" s="14"/>
    </row>
    <row r="937" ht="14.25" customHeight="1">
      <c r="B937" s="13"/>
      <c r="C937" s="13"/>
      <c r="D937" s="13"/>
      <c r="N937" s="14"/>
    </row>
    <row r="938" ht="14.25" customHeight="1">
      <c r="B938" s="13"/>
      <c r="C938" s="13"/>
      <c r="D938" s="13"/>
      <c r="N938" s="14"/>
    </row>
    <row r="939" ht="14.25" customHeight="1">
      <c r="B939" s="13"/>
      <c r="C939" s="13"/>
      <c r="D939" s="13"/>
      <c r="N939" s="14"/>
    </row>
    <row r="940" ht="14.25" customHeight="1">
      <c r="B940" s="13"/>
      <c r="C940" s="13"/>
      <c r="D940" s="13"/>
      <c r="N940" s="14"/>
    </row>
    <row r="941" ht="14.25" customHeight="1">
      <c r="B941" s="13"/>
      <c r="C941" s="13"/>
      <c r="D941" s="13"/>
      <c r="N941" s="14"/>
    </row>
    <row r="942" ht="14.25" customHeight="1">
      <c r="B942" s="13"/>
      <c r="C942" s="13"/>
      <c r="D942" s="13"/>
      <c r="N942" s="14"/>
    </row>
    <row r="943" ht="14.25" customHeight="1">
      <c r="B943" s="13"/>
      <c r="C943" s="13"/>
      <c r="D943" s="13"/>
      <c r="N943" s="14"/>
    </row>
    <row r="944" ht="14.25" customHeight="1">
      <c r="B944" s="13"/>
      <c r="C944" s="13"/>
      <c r="D944" s="13"/>
      <c r="N944" s="14"/>
    </row>
    <row r="945" ht="14.25" customHeight="1">
      <c r="B945" s="13"/>
      <c r="C945" s="13"/>
      <c r="D945" s="13"/>
      <c r="N945" s="14"/>
    </row>
    <row r="946" ht="14.25" customHeight="1">
      <c r="B946" s="13"/>
      <c r="C946" s="13"/>
      <c r="D946" s="13"/>
      <c r="N946" s="14"/>
    </row>
    <row r="947" ht="14.25" customHeight="1">
      <c r="B947" s="13"/>
      <c r="C947" s="13"/>
      <c r="D947" s="13"/>
      <c r="N947" s="14"/>
    </row>
    <row r="948" ht="14.25" customHeight="1">
      <c r="B948" s="13"/>
      <c r="C948" s="13"/>
      <c r="D948" s="13"/>
      <c r="N948" s="14"/>
    </row>
    <row r="949" ht="14.25" customHeight="1">
      <c r="B949" s="13"/>
      <c r="C949" s="13"/>
      <c r="D949" s="13"/>
      <c r="N949" s="14"/>
    </row>
    <row r="950" ht="14.25" customHeight="1">
      <c r="B950" s="13"/>
      <c r="C950" s="13"/>
      <c r="D950" s="13"/>
      <c r="N950" s="14"/>
    </row>
    <row r="951" ht="14.25" customHeight="1">
      <c r="B951" s="13"/>
      <c r="C951" s="13"/>
      <c r="D951" s="13"/>
      <c r="N951" s="14"/>
    </row>
    <row r="952" ht="14.25" customHeight="1">
      <c r="B952" s="13"/>
      <c r="C952" s="13"/>
      <c r="D952" s="13"/>
      <c r="N952" s="14"/>
    </row>
    <row r="953" ht="14.25" customHeight="1">
      <c r="B953" s="13"/>
      <c r="C953" s="13"/>
      <c r="D953" s="13"/>
      <c r="N953" s="14"/>
    </row>
    <row r="954" ht="14.25" customHeight="1">
      <c r="B954" s="13"/>
      <c r="C954" s="13"/>
      <c r="D954" s="13"/>
      <c r="N954" s="14"/>
    </row>
    <row r="955" ht="14.25" customHeight="1">
      <c r="B955" s="13"/>
      <c r="C955" s="13"/>
      <c r="D955" s="13"/>
      <c r="N955" s="14"/>
    </row>
    <row r="956" ht="14.25" customHeight="1">
      <c r="B956" s="13"/>
      <c r="C956" s="13"/>
      <c r="D956" s="13"/>
      <c r="N956" s="14"/>
    </row>
    <row r="957" ht="14.25" customHeight="1">
      <c r="B957" s="13"/>
      <c r="C957" s="13"/>
      <c r="D957" s="13"/>
      <c r="N957" s="14"/>
    </row>
    <row r="958" ht="14.25" customHeight="1">
      <c r="B958" s="13"/>
      <c r="C958" s="13"/>
      <c r="D958" s="13"/>
      <c r="N958" s="14"/>
    </row>
    <row r="959" ht="14.25" customHeight="1">
      <c r="B959" s="13"/>
      <c r="C959" s="13"/>
      <c r="D959" s="13"/>
      <c r="N959" s="14"/>
    </row>
    <row r="960" ht="14.25" customHeight="1">
      <c r="B960" s="13"/>
      <c r="C960" s="13"/>
      <c r="D960" s="13"/>
      <c r="N960" s="14"/>
    </row>
    <row r="961" ht="14.25" customHeight="1">
      <c r="B961" s="13"/>
      <c r="C961" s="13"/>
      <c r="D961" s="13"/>
      <c r="N961" s="14"/>
    </row>
    <row r="962" ht="14.25" customHeight="1">
      <c r="B962" s="13"/>
      <c r="C962" s="13"/>
      <c r="D962" s="13"/>
      <c r="N962" s="14"/>
    </row>
    <row r="963" ht="14.25" customHeight="1">
      <c r="B963" s="13"/>
      <c r="C963" s="13"/>
      <c r="D963" s="13"/>
      <c r="N963" s="14"/>
    </row>
    <row r="964" ht="14.25" customHeight="1">
      <c r="B964" s="13"/>
      <c r="C964" s="13"/>
      <c r="D964" s="13"/>
      <c r="N964" s="14"/>
    </row>
    <row r="965" ht="14.25" customHeight="1">
      <c r="B965" s="13"/>
      <c r="C965" s="13"/>
      <c r="D965" s="13"/>
      <c r="N965" s="14"/>
    </row>
    <row r="966" ht="14.25" customHeight="1">
      <c r="B966" s="13"/>
      <c r="C966" s="13"/>
      <c r="D966" s="13"/>
      <c r="N966" s="14"/>
    </row>
    <row r="967" ht="14.25" customHeight="1">
      <c r="B967" s="13"/>
      <c r="C967" s="13"/>
      <c r="D967" s="13"/>
      <c r="N967" s="14"/>
    </row>
    <row r="968" ht="14.25" customHeight="1">
      <c r="B968" s="13"/>
      <c r="C968" s="13"/>
      <c r="D968" s="13"/>
      <c r="N968" s="14"/>
    </row>
    <row r="969" ht="14.25" customHeight="1">
      <c r="B969" s="13"/>
      <c r="C969" s="13"/>
      <c r="D969" s="13"/>
      <c r="N969" s="14"/>
    </row>
    <row r="970" ht="14.25" customHeight="1">
      <c r="B970" s="13"/>
      <c r="C970" s="13"/>
      <c r="D970" s="13"/>
      <c r="N970" s="14"/>
    </row>
    <row r="971" ht="14.25" customHeight="1">
      <c r="B971" s="13"/>
      <c r="C971" s="13"/>
      <c r="D971" s="13"/>
      <c r="N971" s="14"/>
    </row>
    <row r="972" ht="14.25" customHeight="1">
      <c r="B972" s="13"/>
      <c r="C972" s="13"/>
      <c r="D972" s="13"/>
      <c r="N972" s="14"/>
    </row>
    <row r="973" ht="14.25" customHeight="1">
      <c r="B973" s="13"/>
      <c r="C973" s="13"/>
      <c r="D973" s="13"/>
      <c r="N973" s="14"/>
    </row>
    <row r="974" ht="14.25" customHeight="1">
      <c r="B974" s="13"/>
      <c r="C974" s="13"/>
      <c r="D974" s="13"/>
      <c r="N974" s="14"/>
    </row>
    <row r="975" ht="14.25" customHeight="1">
      <c r="B975" s="13"/>
      <c r="C975" s="13"/>
      <c r="D975" s="13"/>
      <c r="N975" s="14"/>
    </row>
    <row r="976" ht="14.25" customHeight="1">
      <c r="B976" s="13"/>
      <c r="C976" s="13"/>
      <c r="D976" s="13"/>
      <c r="N976" s="14"/>
    </row>
    <row r="977" ht="14.25" customHeight="1">
      <c r="B977" s="13"/>
      <c r="C977" s="13"/>
      <c r="D977" s="13"/>
      <c r="N977" s="14"/>
    </row>
    <row r="978" ht="14.25" customHeight="1">
      <c r="B978" s="13"/>
      <c r="C978" s="13"/>
      <c r="D978" s="13"/>
      <c r="N978" s="14"/>
    </row>
    <row r="979" ht="14.25" customHeight="1">
      <c r="B979" s="13"/>
      <c r="C979" s="13"/>
      <c r="D979" s="13"/>
      <c r="N979" s="14"/>
    </row>
    <row r="980" ht="14.25" customHeight="1">
      <c r="B980" s="13"/>
      <c r="C980" s="13"/>
      <c r="D980" s="13"/>
      <c r="N980" s="14"/>
    </row>
    <row r="981" ht="14.25" customHeight="1">
      <c r="B981" s="13"/>
      <c r="C981" s="13"/>
      <c r="D981" s="13"/>
      <c r="N981" s="14"/>
    </row>
    <row r="982" ht="14.25" customHeight="1">
      <c r="B982" s="13"/>
      <c r="C982" s="13"/>
      <c r="D982" s="13"/>
      <c r="N982" s="14"/>
    </row>
    <row r="983" ht="14.25" customHeight="1">
      <c r="B983" s="13"/>
      <c r="C983" s="13"/>
      <c r="D983" s="13"/>
      <c r="N983" s="14"/>
    </row>
    <row r="984" ht="14.25" customHeight="1">
      <c r="B984" s="13"/>
      <c r="C984" s="13"/>
      <c r="D984" s="13"/>
      <c r="N984" s="14"/>
    </row>
    <row r="985" ht="14.25" customHeight="1">
      <c r="B985" s="13"/>
      <c r="C985" s="13"/>
      <c r="D985" s="13"/>
      <c r="N985" s="14"/>
    </row>
    <row r="986" ht="14.25" customHeight="1">
      <c r="B986" s="13"/>
      <c r="C986" s="13"/>
      <c r="D986" s="13"/>
      <c r="N986" s="14"/>
    </row>
    <row r="987" ht="14.25" customHeight="1">
      <c r="B987" s="13"/>
      <c r="C987" s="13"/>
      <c r="D987" s="13"/>
      <c r="N987" s="14"/>
    </row>
    <row r="988" ht="14.25" customHeight="1">
      <c r="B988" s="13"/>
      <c r="C988" s="13"/>
      <c r="D988" s="13"/>
      <c r="N988" s="14"/>
    </row>
    <row r="989" ht="14.25" customHeight="1">
      <c r="B989" s="13"/>
      <c r="C989" s="13"/>
      <c r="D989" s="13"/>
      <c r="N989" s="14"/>
    </row>
    <row r="990" ht="14.25" customHeight="1">
      <c r="B990" s="13"/>
      <c r="C990" s="13"/>
      <c r="D990" s="13"/>
      <c r="N990" s="14"/>
    </row>
    <row r="991" ht="14.25" customHeight="1">
      <c r="B991" s="13"/>
      <c r="C991" s="13"/>
      <c r="D991" s="13"/>
      <c r="N991" s="14"/>
    </row>
    <row r="992" ht="14.25" customHeight="1">
      <c r="B992" s="13"/>
      <c r="C992" s="13"/>
      <c r="D992" s="13"/>
      <c r="N992" s="14"/>
    </row>
    <row r="993" ht="14.25" customHeight="1">
      <c r="B993" s="13"/>
      <c r="C993" s="13"/>
      <c r="D993" s="13"/>
      <c r="N993" s="14"/>
    </row>
    <row r="994" ht="14.25" customHeight="1">
      <c r="B994" s="13"/>
      <c r="C994" s="13"/>
      <c r="D994" s="13"/>
      <c r="N994" s="14"/>
    </row>
    <row r="995" ht="14.25" customHeight="1">
      <c r="B995" s="13"/>
      <c r="C995" s="13"/>
      <c r="D995" s="13"/>
      <c r="N995" s="14"/>
    </row>
    <row r="996" ht="14.25" customHeight="1">
      <c r="B996" s="13"/>
      <c r="C996" s="13"/>
      <c r="D996" s="13"/>
      <c r="N996" s="14"/>
    </row>
    <row r="997" ht="14.25" customHeight="1">
      <c r="B997" s="13"/>
      <c r="C997" s="13"/>
      <c r="D997" s="13"/>
      <c r="N997" s="14"/>
    </row>
    <row r="998" ht="14.25" customHeight="1">
      <c r="B998" s="13"/>
      <c r="C998" s="13"/>
      <c r="D998" s="13"/>
      <c r="N998" s="14"/>
    </row>
    <row r="999" ht="14.25" customHeight="1">
      <c r="B999" s="13"/>
      <c r="C999" s="13"/>
      <c r="D999" s="13"/>
      <c r="N999" s="14"/>
    </row>
    <row r="1000" ht="14.25" customHeight="1">
      <c r="B1000" s="13"/>
      <c r="C1000" s="13"/>
      <c r="D1000" s="13"/>
      <c r="N1000" s="14"/>
    </row>
  </sheetData>
  <printOptions/>
  <pageMargins bottom="0.75" footer="0.0" header="0.0" left="0.7" right="0.7" top="0.75"/>
  <pageSetup paperSize="9" orientation="portrait"/>
  <headerFooter>
    <oddFooter>&amp;L_x000D_#008542 INTERNA</oddFooter>
  </headerFooter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11.71"/>
    <col customWidth="1" min="2" max="3" width="8.71"/>
    <col customWidth="1" min="4" max="4" width="16.29"/>
    <col customWidth="1" min="5" max="7" width="8.71"/>
    <col customWidth="1" min="8" max="8" width="16.29"/>
    <col customWidth="1" min="9" max="26" width="8.71"/>
  </cols>
  <sheetData>
    <row r="1" ht="14.25" customHeight="1">
      <c r="A1" s="15" t="s">
        <v>21</v>
      </c>
      <c r="D1" s="15" t="s">
        <v>22</v>
      </c>
      <c r="H1" s="15"/>
    </row>
    <row r="2" ht="14.25" customHeight="1">
      <c r="A2" s="16" t="s">
        <v>161</v>
      </c>
      <c r="B2" s="17">
        <f>COUNTIF(DB!$E$2:$E$39,'Plot Paises'!A2)</f>
        <v>0</v>
      </c>
      <c r="D2" s="16" t="s">
        <v>60</v>
      </c>
      <c r="E2" s="17">
        <f>COUNTIF(DB!$F$2:$F$39,'Plot Paises'!D2)</f>
        <v>16</v>
      </c>
      <c r="G2" s="17">
        <f>SUM(B2:B25)</f>
        <v>26</v>
      </c>
      <c r="H2" s="16"/>
    </row>
    <row r="3" ht="14.25" customHeight="1">
      <c r="A3" s="16" t="s">
        <v>54</v>
      </c>
      <c r="B3" s="17">
        <f>COUNTIF(DB!$E$2:$E$39,'Plot Paises'!A3)</f>
        <v>6</v>
      </c>
      <c r="D3" s="16" t="s">
        <v>55</v>
      </c>
      <c r="E3" s="17">
        <f>COUNTIF(DB!$F$2:$F$39,'Plot Paises'!D3)</f>
        <v>6</v>
      </c>
      <c r="G3" s="17">
        <f>SUM(E2:E9)</f>
        <v>38</v>
      </c>
      <c r="H3" s="16"/>
    </row>
    <row r="4" ht="14.25" customHeight="1">
      <c r="A4" s="16" t="s">
        <v>125</v>
      </c>
      <c r="B4" s="17">
        <f>COUNTIF(DB!$E$2:$E$39,'Plot Paises'!A4)</f>
        <v>3</v>
      </c>
      <c r="D4" s="16" t="s">
        <v>44</v>
      </c>
      <c r="E4" s="17">
        <f>COUNTIF(DB!$F$2:$F$39,'Plot Paises'!D4)</f>
        <v>13</v>
      </c>
      <c r="H4" s="16"/>
    </row>
    <row r="5" ht="14.25" customHeight="1">
      <c r="A5" s="16" t="s">
        <v>162</v>
      </c>
      <c r="B5" s="17">
        <f>COUNTIF(DB!$E$2:$E$39,'Plot Paises'!A5)</f>
        <v>0</v>
      </c>
      <c r="D5" s="16" t="s">
        <v>36</v>
      </c>
      <c r="E5" s="17">
        <f>COUNTIF(DB!$F$2:$F$39,'Plot Paises'!D5)</f>
        <v>2</v>
      </c>
      <c r="H5" s="16"/>
    </row>
    <row r="6" ht="14.25" customHeight="1">
      <c r="A6" s="16" t="s">
        <v>78</v>
      </c>
      <c r="B6" s="17">
        <f>COUNTIF(DB!$E$2:$E$39,'Plot Paises'!A6)</f>
        <v>9</v>
      </c>
      <c r="D6" s="16" t="s">
        <v>134</v>
      </c>
      <c r="E6" s="17">
        <f>COUNTIF(DB!$F$2:$F$39,'Plot Paises'!D6)</f>
        <v>1</v>
      </c>
      <c r="H6" s="16"/>
    </row>
    <row r="7" ht="14.25" customHeight="1">
      <c r="A7" s="16" t="s">
        <v>49</v>
      </c>
      <c r="B7" s="17">
        <f>COUNTIF(DB!$E$2:$E$39,'Plot Paises'!A7)</f>
        <v>1</v>
      </c>
    </row>
    <row r="8" ht="14.25" customHeight="1">
      <c r="A8" s="16" t="s">
        <v>163</v>
      </c>
      <c r="B8" s="17">
        <f>COUNTIF(DB!$E$2:$E$39,'Plot Paises'!A8)</f>
        <v>0</v>
      </c>
    </row>
    <row r="9" ht="14.25" customHeight="1">
      <c r="A9" s="16" t="s">
        <v>164</v>
      </c>
      <c r="B9" s="17">
        <f>COUNTIF(DB!$E$2:$E$39,'Plot Paises'!A9)</f>
        <v>0</v>
      </c>
    </row>
    <row r="10" ht="14.25" customHeight="1">
      <c r="A10" s="16" t="s">
        <v>35</v>
      </c>
      <c r="B10" s="17">
        <f>COUNTIF(DB!$E$2:$E$39,'Plot Paises'!A10)</f>
        <v>1</v>
      </c>
    </row>
    <row r="11" ht="14.25" customHeight="1">
      <c r="A11" s="16" t="s">
        <v>165</v>
      </c>
      <c r="B11" s="17">
        <f>COUNTIF(DB!$E$2:$E$39,'Plot Paises'!A11)</f>
        <v>0</v>
      </c>
    </row>
    <row r="12" ht="14.25" customHeight="1">
      <c r="A12" s="16" t="s">
        <v>166</v>
      </c>
      <c r="B12" s="17">
        <f>COUNTIF(DB!$E$2:$E$39,'Plot Paises'!A12)</f>
        <v>0</v>
      </c>
    </row>
    <row r="13" ht="14.25" customHeight="1">
      <c r="A13" s="16" t="s">
        <v>91</v>
      </c>
      <c r="B13" s="17">
        <f>COUNTIF(DB!$E$2:$E$39,'Plot Paises'!A13)</f>
        <v>1</v>
      </c>
    </row>
    <row r="14" ht="14.25" customHeight="1">
      <c r="A14" s="16" t="s">
        <v>167</v>
      </c>
      <c r="B14" s="17">
        <f>COUNTIF(DB!$E$2:$E$39,'Plot Paises'!A14)</f>
        <v>0</v>
      </c>
    </row>
    <row r="15" ht="14.25" customHeight="1">
      <c r="A15" s="16" t="s">
        <v>168</v>
      </c>
      <c r="B15" s="17">
        <f>COUNTIF(DB!$E$2:$E$39,'Plot Paises'!A15)</f>
        <v>0</v>
      </c>
    </row>
    <row r="16" ht="14.25" customHeight="1">
      <c r="A16" s="16" t="s">
        <v>75</v>
      </c>
      <c r="B16" s="17">
        <f>COUNTIF(DB!$E$2:$E$39,'Plot Paises'!A16)</f>
        <v>4</v>
      </c>
    </row>
    <row r="17" ht="14.25" customHeight="1">
      <c r="A17" s="16" t="s">
        <v>169</v>
      </c>
      <c r="B17" s="17">
        <f>COUNTIF(DB!$E$2:$E$39,'Plot Paises'!A17)</f>
        <v>0</v>
      </c>
    </row>
    <row r="18" ht="14.25" customHeight="1">
      <c r="A18" s="16" t="s">
        <v>98</v>
      </c>
      <c r="B18" s="17">
        <f>COUNTIF(DB!$E$2:$E$39,'Plot Paises'!A18)</f>
        <v>1</v>
      </c>
    </row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>
      <c r="A41" s="16" t="s">
        <v>78</v>
      </c>
      <c r="D41" s="16" t="s">
        <v>60</v>
      </c>
    </row>
    <row r="42" ht="14.25" customHeight="1">
      <c r="A42" s="16" t="s">
        <v>35</v>
      </c>
      <c r="D42" s="16" t="s">
        <v>36</v>
      </c>
    </row>
    <row r="43" ht="14.25" customHeight="1">
      <c r="A43" s="16" t="s">
        <v>43</v>
      </c>
      <c r="D43" s="16" t="s">
        <v>44</v>
      </c>
    </row>
    <row r="44" ht="14.25" customHeight="1">
      <c r="A44" s="16" t="s">
        <v>49</v>
      </c>
      <c r="D44" s="16" t="s">
        <v>36</v>
      </c>
    </row>
    <row r="45" ht="14.25" customHeight="1">
      <c r="A45" s="16" t="s">
        <v>54</v>
      </c>
      <c r="D45" s="16" t="s">
        <v>55</v>
      </c>
    </row>
    <row r="46" ht="14.25" customHeight="1">
      <c r="A46" s="16" t="s">
        <v>59</v>
      </c>
      <c r="D46" s="16" t="s">
        <v>60</v>
      </c>
    </row>
    <row r="47" ht="14.25" customHeight="1">
      <c r="A47" s="16" t="s">
        <v>59</v>
      </c>
      <c r="D47" s="16" t="s">
        <v>60</v>
      </c>
    </row>
    <row r="48" ht="14.25" customHeight="1">
      <c r="A48" s="16" t="s">
        <v>54</v>
      </c>
      <c r="D48" s="16" t="s">
        <v>55</v>
      </c>
    </row>
    <row r="49" ht="14.25" customHeight="1">
      <c r="A49" s="16" t="s">
        <v>70</v>
      </c>
      <c r="D49" s="16" t="s">
        <v>44</v>
      </c>
    </row>
    <row r="50" ht="14.25" customHeight="1">
      <c r="A50" s="16" t="s">
        <v>75</v>
      </c>
      <c r="D50" s="16" t="s">
        <v>44</v>
      </c>
    </row>
    <row r="51" ht="14.25" customHeight="1">
      <c r="A51" s="16" t="s">
        <v>78</v>
      </c>
      <c r="D51" s="16" t="s">
        <v>60</v>
      </c>
    </row>
    <row r="52" ht="14.25" customHeight="1">
      <c r="A52" s="16" t="s">
        <v>75</v>
      </c>
      <c r="D52" s="16" t="s">
        <v>44</v>
      </c>
    </row>
    <row r="53" ht="14.25" customHeight="1">
      <c r="A53" s="16" t="s">
        <v>78</v>
      </c>
      <c r="D53" s="16" t="s">
        <v>60</v>
      </c>
    </row>
    <row r="54" ht="14.25" customHeight="1">
      <c r="A54" s="16" t="s">
        <v>75</v>
      </c>
      <c r="D54" s="16" t="s">
        <v>44</v>
      </c>
    </row>
    <row r="55" ht="14.25" customHeight="1">
      <c r="A55" s="16" t="s">
        <v>91</v>
      </c>
      <c r="D55" s="16" t="s">
        <v>60</v>
      </c>
    </row>
    <row r="56" ht="14.25" customHeight="1">
      <c r="A56" s="16" t="s">
        <v>78</v>
      </c>
      <c r="D56" s="16" t="s">
        <v>60</v>
      </c>
    </row>
    <row r="57" ht="14.25" customHeight="1">
      <c r="A57" s="16" t="s">
        <v>98</v>
      </c>
      <c r="D57" s="16" t="s">
        <v>44</v>
      </c>
    </row>
    <row r="58" ht="14.25" customHeight="1">
      <c r="A58" s="16" t="s">
        <v>75</v>
      </c>
      <c r="D58" s="16" t="s">
        <v>44</v>
      </c>
    </row>
    <row r="59" ht="14.25" customHeight="1">
      <c r="A59" s="16" t="s">
        <v>78</v>
      </c>
      <c r="D59" s="16" t="s">
        <v>60</v>
      </c>
    </row>
    <row r="60" ht="14.25" customHeight="1">
      <c r="A60" s="16" t="s">
        <v>70</v>
      </c>
      <c r="D60" s="16" t="s">
        <v>44</v>
      </c>
    </row>
    <row r="61" ht="14.25" customHeight="1">
      <c r="A61" s="16" t="s">
        <v>108</v>
      </c>
      <c r="D61" s="16" t="s">
        <v>60</v>
      </c>
    </row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paperSize="9" orientation="portrait"/>
  <headerFooter>
    <oddFooter>&amp;L_x000D_#008542 INTERNA</oddFooter>
  </headerFooter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2021-08-13T20:00:12Z</dcterms:created>
  <dc:creator>LUCAS DE OLIVEIRA CUNHA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d0459ad-4eb7-43ee-b2e0-a4f39d08f16c_Enabled">
    <vt:lpwstr>true</vt:lpwstr>
  </property>
  <property fmtid="{D5CDD505-2E9C-101B-9397-08002B2CF9AE}" pid="3" name="MSIP_Label_ad0459ad-4eb7-43ee-b2e0-a4f39d08f16c_SetDate">
    <vt:lpwstr>2022-08-23T12:36:35Z</vt:lpwstr>
  </property>
  <property fmtid="{D5CDD505-2E9C-101B-9397-08002B2CF9AE}" pid="4" name="MSIP_Label_ad0459ad-4eb7-43ee-b2e0-a4f39d08f16c_Method">
    <vt:lpwstr>Standard</vt:lpwstr>
  </property>
  <property fmtid="{D5CDD505-2E9C-101B-9397-08002B2CF9AE}" pid="5" name="MSIP_Label_ad0459ad-4eb7-43ee-b2e0-a4f39d08f16c_Name">
    <vt:lpwstr>Private</vt:lpwstr>
  </property>
  <property fmtid="{D5CDD505-2E9C-101B-9397-08002B2CF9AE}" pid="6" name="MSIP_Label_ad0459ad-4eb7-43ee-b2e0-a4f39d08f16c_SiteId">
    <vt:lpwstr>1b5ba8a2-315d-45ce-959a-42b748c01de7</vt:lpwstr>
  </property>
  <property fmtid="{D5CDD505-2E9C-101B-9397-08002B2CF9AE}" pid="7" name="MSIP_Label_ad0459ad-4eb7-43ee-b2e0-a4f39d08f16c_ActionId">
    <vt:lpwstr>e47ecb9b-75ed-48eb-8942-f20eaf353516</vt:lpwstr>
  </property>
  <property fmtid="{D5CDD505-2E9C-101B-9397-08002B2CF9AE}" pid="8" name="MSIP_Label_ad0459ad-4eb7-43ee-b2e0-a4f39d08f16c_ContentBits">
    <vt:lpwstr>0</vt:lpwstr>
  </property>
  <property fmtid="{D5CDD505-2E9C-101B-9397-08002B2CF9AE}" pid="9" name="MSIP_Label_d5eb2d05-47c5-4b3e-9bd7-b47e03a10069_Enabled">
    <vt:lpwstr>true</vt:lpwstr>
  </property>
  <property fmtid="{D5CDD505-2E9C-101B-9397-08002B2CF9AE}" pid="10" name="MSIP_Label_d5eb2d05-47c5-4b3e-9bd7-b47e03a10069_SetDate">
    <vt:lpwstr>2023-12-06T11:24:59Z</vt:lpwstr>
  </property>
  <property fmtid="{D5CDD505-2E9C-101B-9397-08002B2CF9AE}" pid="11" name="MSIP_Label_d5eb2d05-47c5-4b3e-9bd7-b47e03a10069_Method">
    <vt:lpwstr>Privileged</vt:lpwstr>
  </property>
  <property fmtid="{D5CDD505-2E9C-101B-9397-08002B2CF9AE}" pid="12" name="MSIP_Label_d5eb2d05-47c5-4b3e-9bd7-b47e03a10069_Name">
    <vt:lpwstr>PETROBRAS Colaboradores</vt:lpwstr>
  </property>
  <property fmtid="{D5CDD505-2E9C-101B-9397-08002B2CF9AE}" pid="13" name="MSIP_Label_d5eb2d05-47c5-4b3e-9bd7-b47e03a10069_SiteId">
    <vt:lpwstr>5b6f6241-9a57-4be4-8e50-1dfa72e79a57</vt:lpwstr>
  </property>
  <property fmtid="{D5CDD505-2E9C-101B-9397-08002B2CF9AE}" pid="14" name="MSIP_Label_d5eb2d05-47c5-4b3e-9bd7-b47e03a10069_ActionId">
    <vt:lpwstr>453decaa-165d-4977-92ee-52a0160f5fb6</vt:lpwstr>
  </property>
  <property fmtid="{D5CDD505-2E9C-101B-9397-08002B2CF9AE}" pid="15" name="MSIP_Label_d5eb2d05-47c5-4b3e-9bd7-b47e03a10069_ContentBits">
    <vt:lpwstr>2</vt:lpwstr>
  </property>
</Properties>
</file>